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len\Desktop\ENSAMxCartier\_internal\data\"/>
    </mc:Choice>
  </mc:AlternateContent>
  <xr:revisionPtr revIDLastSave="0" documentId="13_ncr:1_{EAE99555-4D2F-4EB9-B1AD-A8F404D50AE6}" xr6:coauthVersionLast="47" xr6:coauthVersionMax="47" xr10:uidLastSave="{00000000-0000-0000-0000-000000000000}"/>
  <bookViews>
    <workbookView xWindow="-108" yWindow="-108" windowWidth="23256" windowHeight="12456" firstSheet="1" activeTab="2" xr2:uid="{00000000-000D-0000-FFFF-FFFF00000000}"/>
  </bookViews>
  <sheets>
    <sheet name="Sheet1" sheetId="1" r:id="rId1"/>
    <sheet name="Adresse par pays" sheetId="6" r:id="rId2"/>
    <sheet name="Distance Matrix calcula" sheetId="2" r:id="rId3"/>
    <sheet name="Database Vehicle" sheetId="66" r:id="rId4"/>
    <sheet name="Distance Matrix Interlaken" sheetId="60" r:id="rId5"/>
    <sheet name="Database Cartier Interlaken" sheetId="54" r:id="rId6"/>
    <sheet name="Distance Matrix St Moritz" sheetId="61" r:id="rId7"/>
    <sheet name="Database Cartier St Moritz" sheetId="59" r:id="rId8"/>
    <sheet name="Distance Matrix Lucerne" sheetId="62" r:id="rId9"/>
    <sheet name="Database Cartier Lucerne" sheetId="58" r:id="rId10"/>
    <sheet name="Distance Matrix Geneva" sheetId="63" r:id="rId11"/>
    <sheet name="Database Cartier Geneva" sheetId="57" r:id="rId12"/>
    <sheet name="Distance Matrix Zürich" sheetId="64" r:id="rId13"/>
    <sheet name="Database Cartier Zürich" sheetId="56" r:id="rId14"/>
    <sheet name="Distance Matrix Lugano" sheetId="65" r:id="rId15"/>
    <sheet name="Database Cartier Lugano" sheetId="55" r:id="rId16"/>
    <sheet name="Distance Matrix Basel" sheetId="52" r:id="rId17"/>
    <sheet name="Database Cartier Basel" sheetId="53" r:id="rId18"/>
    <sheet name="Database Veolia Switzerland" sheetId="51" r:id="rId19"/>
    <sheet name="Distance Matrix Johannesburg" sheetId="50" r:id="rId20"/>
    <sheet name="Database Cartier Johannesburg" sheetId="49" r:id="rId21"/>
    <sheet name="Database Veolia RLG Africa" sheetId="48" r:id="rId22"/>
    <sheet name="Distance Matrix Istanbul" sheetId="45" r:id="rId23"/>
    <sheet name="Database Cartier Istanbul" sheetId="46" r:id="rId24"/>
    <sheet name="Database Veolia Türkiye" sheetId="47" r:id="rId25"/>
    <sheet name="Distance Matrix London" sheetId="43" r:id="rId26"/>
    <sheet name="Database Cartier London" sheetId="42" r:id="rId27"/>
    <sheet name="Database Veolia United Kingdom" sheetId="44" r:id="rId28"/>
    <sheet name="Distance Matrix Madrid" sheetId="40" r:id="rId29"/>
    <sheet name="Database Cartier Madrid" sheetId="41" r:id="rId30"/>
    <sheet name="Distance Matrix Barcelona" sheetId="38" r:id="rId31"/>
    <sheet name="Database Cartier Barcelona" sheetId="39" r:id="rId32"/>
    <sheet name="Distance Matrix Palma" sheetId="36" r:id="rId33"/>
    <sheet name="Database Cartier Palma" sheetId="37" r:id="rId34"/>
    <sheet name="Database Veolia Spain" sheetId="35" r:id="rId35"/>
    <sheet name="Distance Matrix Amsterdam" sheetId="32" r:id="rId36"/>
    <sheet name="Database Cartier Amsterdam" sheetId="33" r:id="rId37"/>
    <sheet name="Database Veolia Netherlands" sheetId="34" r:id="rId38"/>
    <sheet name="Distance Matrix Paris" sheetId="5" r:id="rId39"/>
    <sheet name="Database Cartier Paris" sheetId="3" r:id="rId40"/>
    <sheet name="Distance Matrix Bordeaux" sheetId="9" r:id="rId41"/>
    <sheet name="Database Cartier Bordeaux" sheetId="7" r:id="rId42"/>
    <sheet name="Distance Matrix South-East" sheetId="10" r:id="rId43"/>
    <sheet name="Database Cartier South-East" sheetId="11" r:id="rId44"/>
    <sheet name="Distance Matrix Berlin" sheetId="12" r:id="rId45"/>
    <sheet name="Database Cartier Berlin" sheetId="13" r:id="rId46"/>
    <sheet name="Distance Matrix Munich" sheetId="15" r:id="rId47"/>
    <sheet name="Database Cartier Munich" sheetId="14" r:id="rId48"/>
    <sheet name="Distance Matrix Düsseldorf" sheetId="17" r:id="rId49"/>
    <sheet name="Database Cartier Düsseldorf" sheetId="18" r:id="rId50"/>
    <sheet name="Distance Matrix Hamburg" sheetId="19" r:id="rId51"/>
    <sheet name="Database Cartier Hamburg" sheetId="20" r:id="rId52"/>
    <sheet name="Distance Matrix Frankfurt" sheetId="21" r:id="rId53"/>
    <sheet name="Database Cartier Frankfurt" sheetId="22" r:id="rId54"/>
    <sheet name="Distance Matrix Milan" sheetId="23" r:id="rId55"/>
    <sheet name="Database Cartier Milan" sheetId="24" r:id="rId56"/>
    <sheet name="Distance Matrix Florence" sheetId="25" r:id="rId57"/>
    <sheet name="Database Cartier Florence" sheetId="26" r:id="rId58"/>
    <sheet name="Distance Matrix Venice" sheetId="27" r:id="rId59"/>
    <sheet name="Database Cartier Venice" sheetId="28" r:id="rId60"/>
    <sheet name="Distance Matrix Roma" sheetId="29" r:id="rId61"/>
    <sheet name="Database Cartier Roma" sheetId="30" r:id="rId62"/>
    <sheet name="Database Veolia France" sheetId="4" r:id="rId63"/>
    <sheet name="Database Veolia Germany" sheetId="16" r:id="rId64"/>
    <sheet name="Database Veolia Italy" sheetId="31" r:id="rId6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 a="1"/>
  <c r="B2" i="5" s="1"/>
  <c r="B2" i="29" a="1"/>
  <c r="B2" i="29" s="1"/>
  <c r="B2" i="52" a="1"/>
  <c r="B2" i="52" s="1"/>
  <c r="B2" i="65" a="1"/>
  <c r="B2" i="65" s="1"/>
  <c r="B2" i="64" a="1"/>
  <c r="B2" i="64" s="1"/>
  <c r="B2" i="63" a="1"/>
  <c r="B2" i="63" s="1"/>
  <c r="B2" i="62" a="1"/>
  <c r="B2" i="62" s="1"/>
  <c r="B2" i="61" a="1"/>
  <c r="B2" i="61" s="1"/>
  <c r="B2" i="60" a="1"/>
  <c r="B2" i="60" s="1"/>
  <c r="B2" i="50" a="1"/>
  <c r="B2" i="50" s="1"/>
  <c r="B2" i="45" a="1"/>
  <c r="B2" i="45" s="1"/>
  <c r="B2" i="43" a="1"/>
  <c r="B2" i="43" s="1"/>
  <c r="B2" i="40" a="1"/>
  <c r="B2" i="40" s="1"/>
  <c r="B2" i="38" a="1"/>
  <c r="B2" i="38" s="1"/>
  <c r="B2" i="36" a="1"/>
  <c r="B2" i="36" s="1"/>
  <c r="B2" i="32" a="1"/>
  <c r="B2" i="32" s="1"/>
  <c r="B2" i="27" a="1"/>
  <c r="B2" i="27" s="1"/>
  <c r="B2" i="23" a="1"/>
  <c r="B2" i="23" s="1"/>
  <c r="B2" i="25" a="1"/>
  <c r="B2" i="25" s="1"/>
  <c r="B2" i="19" a="1"/>
  <c r="B2" i="19" s="1"/>
  <c r="B2" i="21" a="1"/>
  <c r="B2" i="21" s="1"/>
  <c r="B2" i="17" a="1"/>
  <c r="B2" i="17" s="1"/>
  <c r="B2" i="15" a="1"/>
  <c r="B2" i="15" s="1"/>
  <c r="B2" i="12" a="1"/>
  <c r="B2" i="12" s="1"/>
  <c r="B2" i="10" a="1"/>
  <c r="B2" i="10" s="1"/>
  <c r="B2" i="9" a="1"/>
  <c r="B2" i="9" s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41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5" i="1"/>
  <c r="B2" i="4" a="1"/>
  <c r="B30" i="4" a="1"/>
  <c r="B4" i="4" a="1"/>
  <c r="B34" i="4" a="1"/>
  <c r="B12" i="4" a="1"/>
  <c r="B14" i="4" a="1"/>
  <c r="B11" i="4" a="1"/>
  <c r="B19" i="4" a="1"/>
  <c r="B6" i="4" a="1"/>
  <c r="B17" i="4" a="1"/>
  <c r="B35" i="4" a="1"/>
  <c r="B7" i="4" a="1"/>
  <c r="B16" i="4" a="1"/>
  <c r="B25" i="4" a="1"/>
  <c r="B9" i="4" a="1"/>
  <c r="B20" i="4" a="1"/>
  <c r="B18" i="4" a="1"/>
  <c r="B22" i="4" a="1"/>
  <c r="B31" i="4" a="1"/>
  <c r="B13" i="4" a="1"/>
  <c r="B15" i="4" a="1"/>
  <c r="B26" i="4" a="1"/>
  <c r="B10" i="4" a="1"/>
  <c r="B3" i="4" a="1"/>
  <c r="B28" i="4" a="1"/>
  <c r="B24" i="4" a="1"/>
  <c r="B32" i="4" a="1"/>
  <c r="B33" i="4" a="1"/>
  <c r="B23" i="4" a="1"/>
  <c r="B21" i="4" a="1"/>
  <c r="B29" i="4" a="1"/>
  <c r="B27" i="4" a="1"/>
  <c r="B8" i="4" a="1"/>
  <c r="B5" i="4" a="1"/>
  <c r="R23" i="6" a="1"/>
  <c r="B7" i="51" a="1"/>
  <c r="B6" i="51" a="1"/>
  <c r="B5" i="51" a="1"/>
  <c r="B2" i="51" a="1"/>
  <c r="B4" i="51" a="1"/>
  <c r="B3" i="51" a="1"/>
  <c r="AA2" i="6" a="1"/>
  <c r="B2" i="48" a="1"/>
  <c r="B4" i="47" a="1"/>
  <c r="B3" i="47" a="1"/>
  <c r="B2" i="47" a="1"/>
  <c r="B6" i="44" a="1"/>
  <c r="B2" i="44" a="1"/>
  <c r="B5" i="44" a="1"/>
  <c r="B4" i="44" a="1"/>
  <c r="B3" i="44" a="1"/>
  <c r="O27" i="6" a="1"/>
  <c r="B3" i="33" a="1"/>
  <c r="B2" i="33" a="1"/>
  <c r="L3" i="6" a="1"/>
  <c r="B6" i="34" a="1"/>
  <c r="B5" i="34" a="1"/>
  <c r="B4" i="34" a="1"/>
  <c r="B2" i="34" a="1"/>
  <c r="B3" i="34" a="1"/>
  <c r="B7" i="31" a="1"/>
  <c r="B6" i="31" a="1"/>
  <c r="B4" i="31" a="1"/>
  <c r="B5" i="31" a="1"/>
  <c r="B3" i="31" a="1"/>
  <c r="B2" i="31" a="1"/>
  <c r="B9" i="16" a="1"/>
  <c r="B3" i="16" a="1"/>
  <c r="B8" i="16" a="1"/>
  <c r="B2" i="16" a="1"/>
  <c r="B7" i="16" a="1"/>
  <c r="B6" i="16" a="1"/>
  <c r="B5" i="16" a="1"/>
  <c r="B4" i="16" a="1"/>
  <c r="AA17" i="6" a="1"/>
  <c r="X18" i="6" a="1"/>
  <c r="X19" i="6" a="1"/>
  <c r="X17" i="6" a="1"/>
  <c r="U18" i="6" a="1"/>
  <c r="U19" i="6" a="1"/>
  <c r="U20" i="6" a="1"/>
  <c r="U21" i="6" a="1"/>
  <c r="U17" i="6" a="1"/>
  <c r="I17" i="6" a="1"/>
  <c r="L17" i="6" a="1"/>
  <c r="O17" i="6" a="1"/>
  <c r="R18" i="6" a="1"/>
  <c r="R19" i="6" a="1"/>
  <c r="R20" i="6" a="1"/>
  <c r="R21" i="6" a="1"/>
  <c r="R22" i="6" a="1"/>
  <c r="R17" i="6" a="1"/>
  <c r="L21" i="6" a="1"/>
  <c r="L18" i="6" a="1"/>
  <c r="L19" i="6" a="1"/>
  <c r="L20" i="6" a="1"/>
  <c r="I18" i="6" a="1"/>
  <c r="I19" i="6" a="1"/>
  <c r="I20" i="6" a="1"/>
  <c r="I21" i="6" a="1"/>
  <c r="I22" i="6" a="1"/>
  <c r="C19" i="6" a="1"/>
  <c r="C20" i="6" a="1"/>
  <c r="C21" i="6" a="1"/>
  <c r="C22" i="6" a="1"/>
  <c r="C23" i="6" a="1"/>
  <c r="C24" i="6" a="1"/>
  <c r="C18" i="6" a="1"/>
  <c r="C17" i="6" a="1"/>
  <c r="O20" i="6" a="1"/>
  <c r="O26" i="6" a="1"/>
  <c r="O21" i="6" a="1"/>
  <c r="O22" i="6" a="1"/>
  <c r="O23" i="6" a="1"/>
  <c r="O24" i="6" a="1"/>
  <c r="O25" i="6" a="1"/>
  <c r="O19" i="6" a="1"/>
  <c r="O18" i="6" a="1"/>
  <c r="B2" i="30" a="1"/>
  <c r="I4" i="6" a="1"/>
  <c r="L2" i="6" a="1"/>
  <c r="R8" i="6" a="1"/>
  <c r="AP38" i="2" a="1"/>
  <c r="AQ40" i="2" a="1"/>
  <c r="AQ38" i="2" a="1"/>
  <c r="AP39" i="2" a="1"/>
  <c r="AQ39" i="2" a="1"/>
  <c r="AP40" i="2" a="1"/>
  <c r="G38" i="2" a="1"/>
  <c r="M38" i="2" a="1"/>
  <c r="S38" i="2" a="1"/>
  <c r="Y38" i="2" a="1"/>
  <c r="AE38" i="2" a="1"/>
  <c r="AK38" i="2" a="1"/>
  <c r="H39" i="2" a="1"/>
  <c r="N39" i="2" a="1"/>
  <c r="T39" i="2" a="1"/>
  <c r="Z39" i="2" a="1"/>
  <c r="AF39" i="2" a="1"/>
  <c r="AL39" i="2" a="1"/>
  <c r="I40" i="2" a="1"/>
  <c r="O40" i="2" a="1"/>
  <c r="U40" i="2" a="1"/>
  <c r="AA40" i="2" a="1"/>
  <c r="AG40" i="2" a="1"/>
  <c r="AM40" i="2" a="1"/>
  <c r="G39" i="2" a="1"/>
  <c r="H40" i="2" a="1"/>
  <c r="AD38" i="2" a="1"/>
  <c r="H38" i="2" a="1"/>
  <c r="N38" i="2" a="1"/>
  <c r="T38" i="2" a="1"/>
  <c r="Z38" i="2" a="1"/>
  <c r="AF38" i="2" a="1"/>
  <c r="AL38" i="2" a="1"/>
  <c r="I39" i="2" a="1"/>
  <c r="O39" i="2" a="1"/>
  <c r="U39" i="2" a="1"/>
  <c r="AA39" i="2" a="1"/>
  <c r="AG39" i="2" a="1"/>
  <c r="AM39" i="2" a="1"/>
  <c r="J40" i="2" a="1"/>
  <c r="P40" i="2" a="1"/>
  <c r="V40" i="2" a="1"/>
  <c r="AB40" i="2" a="1"/>
  <c r="AH40" i="2" a="1"/>
  <c r="AN40" i="2" a="1"/>
  <c r="X38" i="2" a="1"/>
  <c r="N40" i="2" a="1"/>
  <c r="AE39" i="2" a="1"/>
  <c r="I38" i="2" a="1"/>
  <c r="O38" i="2" a="1"/>
  <c r="U38" i="2" a="1"/>
  <c r="AA38" i="2" a="1"/>
  <c r="AG38" i="2" a="1"/>
  <c r="AM38" i="2" a="1"/>
  <c r="J39" i="2" a="1"/>
  <c r="P39" i="2" a="1"/>
  <c r="V39" i="2" a="1"/>
  <c r="AB39" i="2" a="1"/>
  <c r="AH39" i="2" a="1"/>
  <c r="AN39" i="2" a="1"/>
  <c r="K40" i="2" a="1"/>
  <c r="Q40" i="2" a="1"/>
  <c r="W40" i="2" a="1"/>
  <c r="AC40" i="2" a="1"/>
  <c r="AI40" i="2" a="1"/>
  <c r="AO40" i="2" a="1"/>
  <c r="L38" i="2" a="1"/>
  <c r="Y39" i="2" a="1"/>
  <c r="T40" i="2" a="1"/>
  <c r="AF40" i="2" a="1"/>
  <c r="R38" i="2" a="1"/>
  <c r="J38" i="2" a="1"/>
  <c r="P38" i="2" a="1"/>
  <c r="V38" i="2" a="1"/>
  <c r="AB38" i="2" a="1"/>
  <c r="AH38" i="2" a="1"/>
  <c r="AN38" i="2" a="1"/>
  <c r="K39" i="2" a="1"/>
  <c r="Q39" i="2" a="1"/>
  <c r="W39" i="2" a="1"/>
  <c r="AC39" i="2" a="1"/>
  <c r="AI39" i="2" a="1"/>
  <c r="AO39" i="2" a="1"/>
  <c r="L40" i="2" a="1"/>
  <c r="R40" i="2" a="1"/>
  <c r="X40" i="2" a="1"/>
  <c r="AD40" i="2" a="1"/>
  <c r="AJ40" i="2" a="1"/>
  <c r="AJ38" i="2" a="1"/>
  <c r="AK39" i="2" a="1"/>
  <c r="AL40" i="2" a="1"/>
  <c r="S39" i="2" a="1"/>
  <c r="K38" i="2" a="1"/>
  <c r="Q38" i="2" a="1"/>
  <c r="W38" i="2" a="1"/>
  <c r="AC38" i="2" a="1"/>
  <c r="AI38" i="2" a="1"/>
  <c r="AO38" i="2" a="1"/>
  <c r="L39" i="2" a="1"/>
  <c r="R39" i="2" a="1"/>
  <c r="X39" i="2" a="1"/>
  <c r="AD39" i="2" a="1"/>
  <c r="AJ39" i="2" a="1"/>
  <c r="G40" i="2" a="1"/>
  <c r="M40" i="2" a="1"/>
  <c r="S40" i="2" a="1"/>
  <c r="Y40" i="2" a="1"/>
  <c r="AE40" i="2" a="1"/>
  <c r="AK40" i="2" a="1"/>
  <c r="M39" i="2" a="1"/>
  <c r="Z40" i="2" a="1"/>
  <c r="F39" i="2" a="1"/>
  <c r="F40" i="2" a="1"/>
  <c r="F38" i="2" a="1"/>
  <c r="B38" i="4" a="1"/>
  <c r="B37" i="4" a="1"/>
  <c r="B36" i="4" a="1"/>
  <c r="AIU1" i="5" a="1"/>
  <c r="ADG1" i="5" a="1"/>
  <c r="XS1" i="5" a="1"/>
  <c r="SE1" i="5" a="1"/>
  <c r="MQ1" i="5" a="1"/>
  <c r="HC1" i="5" a="1"/>
  <c r="BO1" i="5" a="1"/>
  <c r="AJF1" i="5" a="1"/>
  <c r="ADR1" i="5" a="1"/>
  <c r="YD1" i="5" a="1"/>
  <c r="SP1" i="5" a="1"/>
  <c r="NB1" i="5" a="1"/>
  <c r="HN1" i="5" a="1"/>
  <c r="BZ1" i="5" a="1"/>
  <c r="AJQ1" i="5" a="1"/>
  <c r="AEC1" i="5" a="1"/>
  <c r="YO1" i="5" a="1"/>
  <c r="TA1" i="5" a="1"/>
  <c r="NM1" i="5" a="1"/>
  <c r="ANT1" i="5" a="1"/>
  <c r="AIF1" i="5" a="1"/>
  <c r="ACR1" i="5" a="1"/>
  <c r="XD1" i="5" a="1"/>
  <c r="RP1" i="5" a="1"/>
  <c r="MB1" i="5" a="1"/>
  <c r="GN1" i="5" a="1"/>
  <c r="AZ1" i="5" a="1"/>
  <c r="AIQ1" i="5" a="1"/>
  <c r="ADC1" i="5" a="1"/>
  <c r="XO1" i="5" a="1"/>
  <c r="SA1" i="5" a="1"/>
  <c r="MM1" i="5" a="1"/>
  <c r="GY1" i="5" a="1"/>
  <c r="BK1" i="5" a="1"/>
  <c r="AJB1" i="5" a="1"/>
  <c r="ADN1" i="5" a="1"/>
  <c r="XZ1" i="5" a="1"/>
  <c r="SL1" i="5" a="1"/>
  <c r="MX1" i="5" a="1"/>
  <c r="HJ1" i="5" a="1"/>
  <c r="BV1" i="5" a="1"/>
  <c r="AJA1" i="5" a="1"/>
  <c r="ADM1" i="5" a="1"/>
  <c r="XY1" i="5" a="1"/>
  <c r="SK1" i="5" a="1"/>
  <c r="MW1" i="5" a="1"/>
  <c r="HI1" i="5" a="1"/>
  <c r="BU1" i="5" a="1"/>
  <c r="AIZ1" i="5" a="1"/>
  <c r="ADL1" i="5" a="1"/>
  <c r="XX1" i="5" a="1"/>
  <c r="SJ1" i="5" a="1"/>
  <c r="MV1" i="5" a="1"/>
  <c r="HH1" i="5" a="1"/>
  <c r="BT1" i="5" a="1"/>
  <c r="AIY1" i="5" a="1"/>
  <c r="ADK1" i="5" a="1"/>
  <c r="XW1" i="5" a="1"/>
  <c r="SI1" i="5" a="1"/>
  <c r="MU1" i="5" a="1"/>
  <c r="HG1" i="5" a="1"/>
  <c r="BS1" i="5" a="1"/>
  <c r="VB1" i="5" a="1"/>
  <c r="BF1" i="5" a="1"/>
  <c r="ANM1" i="5" a="1"/>
  <c r="RI1" i="5" a="1"/>
  <c r="CW1" i="5" a="1"/>
  <c r="UZ1" i="5" a="1"/>
  <c r="BD1" i="5" a="1"/>
  <c r="ANB1" i="5" a="1"/>
  <c r="QX1" i="5" a="1"/>
  <c r="BM1" i="5" a="1"/>
  <c r="SS1" i="5" a="1"/>
  <c r="AGP1" i="5" a="1"/>
  <c r="YF1" i="5" a="1"/>
  <c r="DM1" i="5" a="1"/>
  <c r="ADJ1" i="5" a="1"/>
  <c r="HP1" i="5" a="1"/>
  <c r="AIW1" i="5" a="1"/>
  <c r="MS1" i="5" a="1"/>
  <c r="AMC1" i="5" a="1"/>
  <c r="AGZ1" i="5" a="1"/>
  <c r="KV1" i="5" a="1"/>
  <c r="VN1" i="5" a="1"/>
  <c r="FT1" i="5" a="1"/>
  <c r="AFC1" i="5" a="1"/>
  <c r="ALB1" i="5" a="1"/>
  <c r="OX1" i="5" a="1"/>
  <c r="AAK1" i="5" a="1"/>
  <c r="AEN1" i="5" a="1"/>
  <c r="ZK1" i="5" a="1"/>
  <c r="UH1" i="5" a="1"/>
  <c r="DQ1" i="5" a="1"/>
  <c r="AKU1" i="5" a="1"/>
  <c r="YS1" i="5" a="1"/>
  <c r="EX1" i="5" a="1"/>
  <c r="AFB1" i="5" a="1"/>
  <c r="ALA1" i="5" a="1"/>
  <c r="AEB1" i="5" a="1"/>
  <c r="TK1" i="5" a="1"/>
  <c r="OH1" i="5" a="1"/>
  <c r="IS1" i="5" a="1"/>
  <c r="AKI1" i="5" a="1"/>
  <c r="WW1" i="5" a="1"/>
  <c r="ADT1" i="5" a="1"/>
  <c r="BQ1" i="5" a="1"/>
  <c r="NZ1" i="5" a="1"/>
  <c r="AJD1" i="5" a="1"/>
  <c r="NK1" i="5" a="1"/>
  <c r="NV1" i="5" a="1"/>
  <c r="CS1" i="5" a="1"/>
  <c r="YU1" i="5" a="1"/>
  <c r="AII1" i="5" a="1"/>
  <c r="ACU1" i="5" a="1"/>
  <c r="XG1" i="5" a="1"/>
  <c r="RS1" i="5" a="1"/>
  <c r="ME1" i="5" a="1"/>
  <c r="GQ1" i="5" a="1"/>
  <c r="BC1" i="5" a="1"/>
  <c r="AIT1" i="5" a="1"/>
  <c r="ADF1" i="5" a="1"/>
  <c r="XR1" i="5" a="1"/>
  <c r="SD1" i="5" a="1"/>
  <c r="MP1" i="5" a="1"/>
  <c r="HB1" i="5" a="1"/>
  <c r="BN1" i="5" a="1"/>
  <c r="AJE1" i="5" a="1"/>
  <c r="ADQ1" i="5" a="1"/>
  <c r="YC1" i="5" a="1"/>
  <c r="SO1" i="5" a="1"/>
  <c r="NA1" i="5" a="1"/>
  <c r="ANH1" i="5" a="1"/>
  <c r="AHT1" i="5" a="1"/>
  <c r="ACF1" i="5" a="1"/>
  <c r="WR1" i="5" a="1"/>
  <c r="RD1" i="5" a="1"/>
  <c r="LP1" i="5" a="1"/>
  <c r="GB1" i="5" a="1"/>
  <c r="ANS1" i="5" a="1"/>
  <c r="AIE1" i="5" a="1"/>
  <c r="ACQ1" i="5" a="1"/>
  <c r="XC1" i="5" a="1"/>
  <c r="RO1" i="5" a="1"/>
  <c r="MA1" i="5" a="1"/>
  <c r="GM1" i="5" a="1"/>
  <c r="AY1" i="5" a="1"/>
  <c r="AIP1" i="5" a="1"/>
  <c r="ADB1" i="5" a="1"/>
  <c r="XN1" i="5" a="1"/>
  <c r="RZ1" i="5" a="1"/>
  <c r="ML1" i="5" a="1"/>
  <c r="GX1" i="5" a="1"/>
  <c r="BJ1" i="5" a="1"/>
  <c r="AIO1" i="5" a="1"/>
  <c r="ADA1" i="5" a="1"/>
  <c r="XM1" i="5" a="1"/>
  <c r="RY1" i="5" a="1"/>
  <c r="MK1" i="5" a="1"/>
  <c r="GW1" i="5" a="1"/>
  <c r="BI1" i="5" a="1"/>
  <c r="AIN1" i="5" a="1"/>
  <c r="ACZ1" i="5" a="1"/>
  <c r="XL1" i="5" a="1"/>
  <c r="RX1" i="5" a="1"/>
  <c r="MJ1" i="5" a="1"/>
  <c r="GV1" i="5" a="1"/>
  <c r="BH1" i="5" a="1"/>
  <c r="AIM1" i="5" a="1"/>
  <c r="ACY1" i="5" a="1"/>
  <c r="XK1" i="5" a="1"/>
  <c r="RW1" i="5" a="1"/>
  <c r="MI1" i="5" a="1"/>
  <c r="GU1" i="5" a="1"/>
  <c r="BG1" i="5" a="1"/>
  <c r="TF1" i="5" a="1"/>
  <c r="ALQ1" i="5" a="1"/>
  <c r="PM1" i="5" a="1"/>
  <c r="TD1" i="5" a="1"/>
  <c r="ALF1" i="5" a="1"/>
  <c r="PB1" i="5" a="1"/>
  <c r="ANA1" i="5" a="1"/>
  <c r="QW1" i="5" a="1"/>
  <c r="XI1" i="5" a="1"/>
  <c r="WJ1" i="5" a="1"/>
  <c r="CC1" i="5" a="1"/>
  <c r="ABN1" i="5" a="1"/>
  <c r="GF1" i="5" a="1"/>
  <c r="AHA1" i="5" a="1"/>
  <c r="KW1" i="5" a="1"/>
  <c r="OC1" i="5" a="1"/>
  <c r="AFD1" i="5" a="1"/>
  <c r="IZ1" i="5" a="1"/>
  <c r="TR1" i="5" a="1"/>
  <c r="AMB1" i="5" a="1"/>
  <c r="ZZ1" i="5" a="1"/>
  <c r="AFY1" i="5" a="1"/>
  <c r="NX1" i="5" a="1"/>
  <c r="OI1" i="5" a="1"/>
  <c r="DR1" i="5" a="1"/>
  <c r="AKV1" i="5" a="1"/>
  <c r="ZS1" i="5" a="1"/>
  <c r="ACJ1" i="5" a="1"/>
  <c r="AKT1" i="5" a="1"/>
  <c r="ZN1" i="5" a="1"/>
  <c r="ZY1" i="5" a="1"/>
  <c r="HX1" i="5" a="1"/>
  <c r="AKL1" i="5" a="1"/>
  <c r="ZI1" i="5" a="1"/>
  <c r="IR1" i="5" a="1"/>
  <c r="AAP1" i="5" a="1"/>
  <c r="WL1" i="5" a="1"/>
  <c r="SG1" i="5" a="1"/>
  <c r="ZB1" i="5" a="1"/>
  <c r="ZM1" i="5" a="1"/>
  <c r="HL1" i="5" a="1"/>
  <c r="AJZ1" i="5" a="1"/>
  <c r="AEK1" i="5" a="1"/>
  <c r="IF1" i="5" a="1"/>
  <c r="ANK1" i="5" a="1"/>
  <c r="AHW1" i="5" a="1"/>
  <c r="ACI1" i="5" a="1"/>
  <c r="WU1" i="5" a="1"/>
  <c r="RG1" i="5" a="1"/>
  <c r="LS1" i="5" a="1"/>
  <c r="GE1" i="5" a="1"/>
  <c r="AIH1" i="5" a="1"/>
  <c r="ACT1" i="5" a="1"/>
  <c r="XF1" i="5" a="1"/>
  <c r="RR1" i="5" a="1"/>
  <c r="MD1" i="5" a="1"/>
  <c r="GP1" i="5" a="1"/>
  <c r="BB1" i="5" a="1"/>
  <c r="AIS1" i="5" a="1"/>
  <c r="ADE1" i="5" a="1"/>
  <c r="XQ1" i="5" a="1"/>
  <c r="SC1" i="5" a="1"/>
  <c r="MO1" i="5" a="1"/>
  <c r="AMV1" i="5" a="1"/>
  <c r="AHH1" i="5" a="1"/>
  <c r="ABT1" i="5" a="1"/>
  <c r="WF1" i="5" a="1"/>
  <c r="QR1" i="5" a="1"/>
  <c r="LD1" i="5" a="1"/>
  <c r="FP1" i="5" a="1"/>
  <c r="ANG1" i="5" a="1"/>
  <c r="AHS1" i="5" a="1"/>
  <c r="ACE1" i="5" a="1"/>
  <c r="WQ1" i="5" a="1"/>
  <c r="RC1" i="5" a="1"/>
  <c r="LO1" i="5" a="1"/>
  <c r="GA1" i="5" a="1"/>
  <c r="ANR1" i="5" a="1"/>
  <c r="AID1" i="5" a="1"/>
  <c r="ACP1" i="5" a="1"/>
  <c r="XB1" i="5" a="1"/>
  <c r="RN1" i="5" a="1"/>
  <c r="LZ1" i="5" a="1"/>
  <c r="GL1" i="5" a="1"/>
  <c r="ANQ1" i="5" a="1"/>
  <c r="AIC1" i="5" a="1"/>
  <c r="ACO1" i="5" a="1"/>
  <c r="XA1" i="5" a="1"/>
  <c r="RM1" i="5" a="1"/>
  <c r="LY1" i="5" a="1"/>
  <c r="GK1" i="5" a="1"/>
  <c r="ANP1" i="5" a="1"/>
  <c r="AIB1" i="5" a="1"/>
  <c r="ACN1" i="5" a="1"/>
  <c r="WZ1" i="5" a="1"/>
  <c r="RL1" i="5" a="1"/>
  <c r="LX1" i="5" a="1"/>
  <c r="GJ1" i="5" a="1"/>
  <c r="ANO1" i="5" a="1"/>
  <c r="AIA1" i="5" a="1"/>
  <c r="ACM1" i="5" a="1"/>
  <c r="WY1" i="5" a="1"/>
  <c r="RK1" i="5" a="1"/>
  <c r="LW1" i="5" a="1"/>
  <c r="GI1" i="5" a="1"/>
  <c r="ANN1" i="5" a="1"/>
  <c r="RJ1" i="5" a="1"/>
  <c r="AJU1" i="5" a="1"/>
  <c r="NQ1" i="5" a="1"/>
  <c r="AET1" i="5" a="1"/>
  <c r="ANL1" i="5" a="1"/>
  <c r="RH1" i="5" a="1"/>
  <c r="AJJ1" i="5" a="1"/>
  <c r="NF1" i="5" a="1"/>
  <c r="ALE1" i="5" a="1"/>
  <c r="PA1" i="5" a="1"/>
  <c r="AER1" i="5" a="1"/>
  <c r="UN1" i="5" a="1"/>
  <c r="ZR1" i="5" a="1"/>
  <c r="EV1" i="5" a="1"/>
  <c r="AFE1" i="5" a="1"/>
  <c r="JA1" i="5" a="1"/>
  <c r="ACV1" i="5" a="1"/>
  <c r="ADH1" i="5" a="1"/>
  <c r="HF1" i="5" a="1"/>
  <c r="RV1" i="5" a="1"/>
  <c r="ALM1" i="5" a="1"/>
  <c r="IJ1" i="5" a="1"/>
  <c r="IU1" i="5" a="1"/>
  <c r="JF1" i="5" a="1"/>
  <c r="JE1" i="5" a="1"/>
  <c r="OR1" i="5" a="1"/>
  <c r="AFG1" i="5" a="1"/>
  <c r="ACL1" i="5" a="1"/>
  <c r="AKF1" i="5" a="1"/>
  <c r="AGO1" i="5" a="1"/>
  <c r="AIJ1" i="5" a="1"/>
  <c r="TO1" i="5" a="1"/>
  <c r="CY1" i="5" a="1"/>
  <c r="OL1" i="5" a="1"/>
  <c r="AFM1" i="5" a="1"/>
  <c r="AJP1" i="5" a="1"/>
  <c r="CJ1" i="5" a="1"/>
  <c r="CU1" i="5" a="1"/>
  <c r="IT1" i="5" a="1"/>
  <c r="TU1" i="5" a="1"/>
  <c r="ZH1" i="5" a="1"/>
  <c r="AEU1" i="5" a="1"/>
  <c r="DC1" i="5" a="1"/>
  <c r="RT1" i="5" a="1"/>
  <c r="IO1" i="5" a="1"/>
  <c r="AIX1" i="5" a="1"/>
  <c r="YQ1" i="5" a="1"/>
  <c r="IA1" i="5" a="1"/>
  <c r="AEP1" i="5" a="1"/>
  <c r="CX1" i="5" a="1"/>
  <c r="OK1" i="5" a="1"/>
  <c r="YB1" i="5" a="1"/>
  <c r="AEA1" i="5" a="1"/>
  <c r="CI1" i="5" a="1"/>
  <c r="IH1" i="5" a="1"/>
  <c r="NU1" i="5" a="1"/>
  <c r="YV1" i="5" a="1"/>
  <c r="AEI1" i="5" a="1"/>
  <c r="CQ1" i="5" a="1"/>
  <c r="AMY1" i="5" a="1"/>
  <c r="AHK1" i="5" a="1"/>
  <c r="ABW1" i="5" a="1"/>
  <c r="WI1" i="5" a="1"/>
  <c r="QU1" i="5" a="1"/>
  <c r="LG1" i="5" a="1"/>
  <c r="FS1" i="5" a="1"/>
  <c r="ANJ1" i="5" a="1"/>
  <c r="AHV1" i="5" a="1"/>
  <c r="ACH1" i="5" a="1"/>
  <c r="WT1" i="5" a="1"/>
  <c r="RF1" i="5" a="1"/>
  <c r="LR1" i="5" a="1"/>
  <c r="GD1" i="5" a="1"/>
  <c r="ANU1" i="5" a="1"/>
  <c r="AIG1" i="5" a="1"/>
  <c r="ACS1" i="5" a="1"/>
  <c r="XE1" i="5" a="1"/>
  <c r="RQ1" i="5" a="1"/>
  <c r="MC1" i="5" a="1"/>
  <c r="AMJ1" i="5" a="1"/>
  <c r="AGV1" i="5" a="1"/>
  <c r="ABH1" i="5" a="1"/>
  <c r="VT1" i="5" a="1"/>
  <c r="QF1" i="5" a="1"/>
  <c r="KR1" i="5" a="1"/>
  <c r="FD1" i="5" a="1"/>
  <c r="AMU1" i="5" a="1"/>
  <c r="AHG1" i="5" a="1"/>
  <c r="ABS1" i="5" a="1"/>
  <c r="WE1" i="5" a="1"/>
  <c r="QQ1" i="5" a="1"/>
  <c r="LC1" i="5" a="1"/>
  <c r="FO1" i="5" a="1"/>
  <c r="ANF1" i="5" a="1"/>
  <c r="AHR1" i="5" a="1"/>
  <c r="ACD1" i="5" a="1"/>
  <c r="WP1" i="5" a="1"/>
  <c r="RB1" i="5" a="1"/>
  <c r="LN1" i="5" a="1"/>
  <c r="FZ1" i="5" a="1"/>
  <c r="ANE1" i="5" a="1"/>
  <c r="AHQ1" i="5" a="1"/>
  <c r="ACC1" i="5" a="1"/>
  <c r="WO1" i="5" a="1"/>
  <c r="RA1" i="5" a="1"/>
  <c r="LM1" i="5" a="1"/>
  <c r="FY1" i="5" a="1"/>
  <c r="AND1" i="5" a="1"/>
  <c r="AHP1" i="5" a="1"/>
  <c r="ACB1" i="5" a="1"/>
  <c r="WN1" i="5" a="1"/>
  <c r="QZ1" i="5" a="1"/>
  <c r="LL1" i="5" a="1"/>
  <c r="FX1" i="5" a="1"/>
  <c r="ANC1" i="5" a="1"/>
  <c r="AHO1" i="5" a="1"/>
  <c r="ACA1" i="5" a="1"/>
  <c r="WM1" i="5" a="1"/>
  <c r="QY1" i="5" a="1"/>
  <c r="LK1" i="5" a="1"/>
  <c r="FW1" i="5" a="1"/>
  <c r="ALR1" i="5" a="1"/>
  <c r="PN1" i="5" a="1"/>
  <c r="AHY1" i="5" a="1"/>
  <c r="LU1" i="5" a="1"/>
  <c r="ALP1" i="5" a="1"/>
  <c r="PL1" i="5" a="1"/>
  <c r="AHN1" i="5" a="1"/>
  <c r="LJ1" i="5" a="1"/>
  <c r="AJI1" i="5" a="1"/>
  <c r="NE1" i="5" a="1"/>
  <c r="SR1" i="5" a="1"/>
  <c r="ZF1" i="5" a="1"/>
  <c r="XV1" i="5" a="1"/>
  <c r="DL1" i="5" a="1"/>
  <c r="ADI1" i="5" a="1"/>
  <c r="HM1" i="5" a="1"/>
  <c r="VL1" i="5" a="1"/>
  <c r="ABL1" i="5" a="1"/>
  <c r="FV1" i="5" a="1"/>
  <c r="PZ1" i="5" a="1"/>
  <c r="AKQ1" i="5" a="1"/>
  <c r="YZ1" i="5" a="1"/>
  <c r="AKW1" i="5" a="1"/>
  <c r="JC1" i="5" a="1"/>
  <c r="OP1" i="5" a="1"/>
  <c r="AEQ1" i="5" a="1"/>
  <c r="AEM1" i="5" a="1"/>
  <c r="OG1" i="5" a="1"/>
  <c r="IQ1" i="5" a="1"/>
  <c r="DN1" i="5" a="1"/>
  <c r="AFA1" i="5" a="1"/>
  <c r="YM1" i="5" a="1"/>
  <c r="YW1" i="5" a="1"/>
  <c r="AMM1" i="5" a="1"/>
  <c r="AGY1" i="5" a="1"/>
  <c r="ABK1" i="5" a="1"/>
  <c r="VW1" i="5" a="1"/>
  <c r="QI1" i="5" a="1"/>
  <c r="KU1" i="5" a="1"/>
  <c r="FG1" i="5" a="1"/>
  <c r="AMX1" i="5" a="1"/>
  <c r="AHJ1" i="5" a="1"/>
  <c r="ABV1" i="5" a="1"/>
  <c r="WH1" i="5" a="1"/>
  <c r="QT1" i="5" a="1"/>
  <c r="LF1" i="5" a="1"/>
  <c r="FR1" i="5" a="1"/>
  <c r="ANI1" i="5" a="1"/>
  <c r="AHU1" i="5" a="1"/>
  <c r="ACG1" i="5" a="1"/>
  <c r="WS1" i="5" a="1"/>
  <c r="RE1" i="5" a="1"/>
  <c r="LQ1" i="5" a="1"/>
  <c r="ALX1" i="5" a="1"/>
  <c r="AGJ1" i="5" a="1"/>
  <c r="AAV1" i="5" a="1"/>
  <c r="VH1" i="5" a="1"/>
  <c r="PT1" i="5" a="1"/>
  <c r="KF1" i="5" a="1"/>
  <c r="ER1" i="5" a="1"/>
  <c r="AMI1" i="5" a="1"/>
  <c r="AGU1" i="5" a="1"/>
  <c r="ABG1" i="5" a="1"/>
  <c r="VS1" i="5" a="1"/>
  <c r="QE1" i="5" a="1"/>
  <c r="KQ1" i="5" a="1"/>
  <c r="FC1" i="5" a="1"/>
  <c r="AMT1" i="5" a="1"/>
  <c r="AHF1" i="5" a="1"/>
  <c r="ABR1" i="5" a="1"/>
  <c r="WD1" i="5" a="1"/>
  <c r="QP1" i="5" a="1"/>
  <c r="LB1" i="5" a="1"/>
  <c r="FN1" i="5" a="1"/>
  <c r="AMS1" i="5" a="1"/>
  <c r="AHE1" i="5" a="1"/>
  <c r="ABQ1" i="5" a="1"/>
  <c r="WC1" i="5" a="1"/>
  <c r="QO1" i="5" a="1"/>
  <c r="LA1" i="5" a="1"/>
  <c r="FM1" i="5" a="1"/>
  <c r="AMR1" i="5" a="1"/>
  <c r="AHD1" i="5" a="1"/>
  <c r="ABP1" i="5" a="1"/>
  <c r="WB1" i="5" a="1"/>
  <c r="QN1" i="5" a="1"/>
  <c r="KZ1" i="5" a="1"/>
  <c r="FL1" i="5" a="1"/>
  <c r="AMQ1" i="5" a="1"/>
  <c r="AHC1" i="5" a="1"/>
  <c r="ABO1" i="5" a="1"/>
  <c r="WA1" i="5" a="1"/>
  <c r="QM1" i="5" a="1"/>
  <c r="KY1" i="5" a="1"/>
  <c r="FK1" i="5" a="1"/>
  <c r="AJV1" i="5" a="1"/>
  <c r="NR1" i="5" a="1"/>
  <c r="AGC1" i="5" a="1"/>
  <c r="JY1" i="5" a="1"/>
  <c r="AES1" i="5" a="1"/>
  <c r="AJT1" i="5" a="1"/>
  <c r="NP1" i="5" a="1"/>
  <c r="AFR1" i="5" a="1"/>
  <c r="JN1" i="5" a="1"/>
  <c r="AHM1" i="5" a="1"/>
  <c r="LI1" i="5" a="1"/>
  <c r="AMZ1" i="5" a="1"/>
  <c r="QV1" i="5" a="1"/>
  <c r="AKG1" i="5" a="1"/>
  <c r="VZ1" i="5" a="1"/>
  <c r="CB1" i="5" a="1"/>
  <c r="ABM1" i="5" a="1"/>
  <c r="GC1" i="5" a="1"/>
  <c r="TP1" i="5" a="1"/>
  <c r="ZP1" i="5" a="1"/>
  <c r="EL1" i="5" a="1"/>
  <c r="OD1" i="5" a="1"/>
  <c r="ZO1" i="5" a="1"/>
  <c r="UA1" i="5" a="1"/>
  <c r="OM1" i="5" a="1"/>
  <c r="IY1" i="5" a="1"/>
  <c r="DK1" i="5" a="1"/>
  <c r="AFN1" i="5" a="1"/>
  <c r="JJ1" i="5" a="1"/>
  <c r="PI1" i="5" a="1"/>
  <c r="CV1" i="5" a="1"/>
  <c r="TW1" i="5" a="1"/>
  <c r="ZV1" i="5" a="1"/>
  <c r="ZU1" i="5" a="1"/>
  <c r="UF1" i="5" a="1"/>
  <c r="DO1" i="5" a="1"/>
  <c r="YH1" i="5" a="1"/>
  <c r="EG1" i="5" a="1"/>
  <c r="JI1" i="5" a="1"/>
  <c r="NW1" i="5" a="1"/>
  <c r="DF1" i="5" a="1"/>
  <c r="AEV1" i="5" a="1"/>
  <c r="TS1" i="5" a="1"/>
  <c r="AAN1" i="5" a="1"/>
  <c r="HA1" i="5" a="1"/>
  <c r="AEE1" i="5" a="1"/>
  <c r="BX1" i="5" a="1"/>
  <c r="AJY1" i="5" a="1"/>
  <c r="CR1" i="5" a="1"/>
  <c r="AMA1" i="5" a="1"/>
  <c r="AGM1" i="5" a="1"/>
  <c r="AAY1" i="5" a="1"/>
  <c r="VK1" i="5" a="1"/>
  <c r="PW1" i="5" a="1"/>
  <c r="KI1" i="5" a="1"/>
  <c r="EU1" i="5" a="1"/>
  <c r="AML1" i="5" a="1"/>
  <c r="AGX1" i="5" a="1"/>
  <c r="ABJ1" i="5" a="1"/>
  <c r="VV1" i="5" a="1"/>
  <c r="QH1" i="5" a="1"/>
  <c r="KT1" i="5" a="1"/>
  <c r="FF1" i="5" a="1"/>
  <c r="AMW1" i="5" a="1"/>
  <c r="AHI1" i="5" a="1"/>
  <c r="ABU1" i="5" a="1"/>
  <c r="WG1" i="5" a="1"/>
  <c r="QS1" i="5" a="1"/>
  <c r="LE1" i="5" a="1"/>
  <c r="ALL1" i="5" a="1"/>
  <c r="AFX1" i="5" a="1"/>
  <c r="AAJ1" i="5" a="1"/>
  <c r="UV1" i="5" a="1"/>
  <c r="PH1" i="5" a="1"/>
  <c r="JT1" i="5" a="1"/>
  <c r="EF1" i="5" a="1"/>
  <c r="ALW1" i="5" a="1"/>
  <c r="AGI1" i="5" a="1"/>
  <c r="AAU1" i="5" a="1"/>
  <c r="VG1" i="5" a="1"/>
  <c r="PS1" i="5" a="1"/>
  <c r="KE1" i="5" a="1"/>
  <c r="EQ1" i="5" a="1"/>
  <c r="AMH1" i="5" a="1"/>
  <c r="AGT1" i="5" a="1"/>
  <c r="ABF1" i="5" a="1"/>
  <c r="VR1" i="5" a="1"/>
  <c r="QD1" i="5" a="1"/>
  <c r="KP1" i="5" a="1"/>
  <c r="FB1" i="5" a="1"/>
  <c r="AMG1" i="5" a="1"/>
  <c r="AGS1" i="5" a="1"/>
  <c r="ABE1" i="5" a="1"/>
  <c r="VQ1" i="5" a="1"/>
  <c r="QC1" i="5" a="1"/>
  <c r="KO1" i="5" a="1"/>
  <c r="FA1" i="5" a="1"/>
  <c r="AMF1" i="5" a="1"/>
  <c r="AGR1" i="5" a="1"/>
  <c r="ABD1" i="5" a="1"/>
  <c r="VP1" i="5" a="1"/>
  <c r="QB1" i="5" a="1"/>
  <c r="KN1" i="5" a="1"/>
  <c r="EZ1" i="5" a="1"/>
  <c r="AME1" i="5" a="1"/>
  <c r="AGQ1" i="5" a="1"/>
  <c r="ABC1" i="5" a="1"/>
  <c r="VO1" i="5" a="1"/>
  <c r="QA1" i="5" a="1"/>
  <c r="KM1" i="5" a="1"/>
  <c r="EY1" i="5" a="1"/>
  <c r="AHZ1" i="5" a="1"/>
  <c r="LV1" i="5" a="1"/>
  <c r="ACX1" i="5" a="1"/>
  <c r="AEG1" i="5" a="1"/>
  <c r="IC1" i="5" a="1"/>
  <c r="VM1" i="5" a="1"/>
  <c r="AHX1" i="5" a="1"/>
  <c r="LT1" i="5" a="1"/>
  <c r="AIL1" i="5" a="1"/>
  <c r="ADV1" i="5" a="1"/>
  <c r="HY1" i="5" a="1"/>
  <c r="ABB1" i="5" a="1"/>
  <c r="AFQ1" i="5" a="1"/>
  <c r="JM1" i="5" a="1"/>
  <c r="ALD1" i="5" a="1"/>
  <c r="OZ1" i="5" a="1"/>
  <c r="KK1" i="5" a="1"/>
  <c r="UD1" i="5" a="1"/>
  <c r="ZQ1" i="5" a="1"/>
  <c r="ES1" i="5" a="1"/>
  <c r="PX1" i="5" a="1"/>
  <c r="XT1" i="5" a="1"/>
  <c r="DB1" i="5" a="1"/>
  <c r="MH1" i="5" a="1"/>
  <c r="UL1" i="5" a="1"/>
  <c r="UW1" i="5" a="1"/>
  <c r="TL1" i="5" a="1"/>
  <c r="AKM1" i="5" a="1"/>
  <c r="AKX1" i="5" a="1"/>
  <c r="OT1" i="5" a="1"/>
  <c r="UG1" i="5" a="1"/>
  <c r="AFH1" i="5" a="1"/>
  <c r="DP1" i="5" a="1"/>
  <c r="OQ1" i="5" a="1"/>
  <c r="GT1" i="5" a="1"/>
  <c r="GR1" i="5" a="1"/>
  <c r="DU1" i="5" a="1"/>
  <c r="JL1" i="5" a="1"/>
  <c r="SF1" i="5" a="1"/>
  <c r="IM1" i="5" a="1"/>
  <c r="IX1" i="5" a="1"/>
  <c r="UK1" i="5" a="1"/>
  <c r="SZ1" i="5" a="1"/>
  <c r="YY1" i="5" a="1"/>
  <c r="AEX1" i="5" a="1"/>
  <c r="AKK1" i="5" a="1"/>
  <c r="DE1" i="5" a="1"/>
  <c r="OF1" i="5" a="1"/>
  <c r="ZG1" i="5" a="1"/>
  <c r="FJ1" i="5" a="1"/>
  <c r="CK1" i="5" a="1"/>
  <c r="HQ1" i="5" a="1"/>
  <c r="AMN1" i="5" a="1"/>
  <c r="TC1" i="5" a="1"/>
  <c r="CM1" i="5" a="1"/>
  <c r="TN1" i="5" a="1"/>
  <c r="AKO1" i="5" a="1"/>
  <c r="IW1" i="5" a="1"/>
  <c r="MZ1" i="5" a="1"/>
  <c r="SY1" i="5" a="1"/>
  <c r="AEL1" i="5" a="1"/>
  <c r="CT1" i="5" a="1"/>
  <c r="IG1" i="5" a="1"/>
  <c r="TH1" i="5" a="1"/>
  <c r="AJW1" i="5" a="1"/>
  <c r="ALO1" i="5" a="1"/>
  <c r="AGA1" i="5" a="1"/>
  <c r="AAM1" i="5" a="1"/>
  <c r="UY1" i="5" a="1"/>
  <c r="PK1" i="5" a="1"/>
  <c r="JW1" i="5" a="1"/>
  <c r="EI1" i="5" a="1"/>
  <c r="ALZ1" i="5" a="1"/>
  <c r="AGL1" i="5" a="1"/>
  <c r="AAX1" i="5" a="1"/>
  <c r="VJ1" i="5" a="1"/>
  <c r="PV1" i="5" a="1"/>
  <c r="KH1" i="5" a="1"/>
  <c r="ET1" i="5" a="1"/>
  <c r="AMK1" i="5" a="1"/>
  <c r="AGW1" i="5" a="1"/>
  <c r="ABI1" i="5" a="1"/>
  <c r="VU1" i="5" a="1"/>
  <c r="QG1" i="5" a="1"/>
  <c r="KS1" i="5" a="1"/>
  <c r="AKZ1" i="5" a="1"/>
  <c r="AFL1" i="5" a="1"/>
  <c r="ZX1" i="5" a="1"/>
  <c r="UJ1" i="5" a="1"/>
  <c r="OV1" i="5" a="1"/>
  <c r="JH1" i="5" a="1"/>
  <c r="DT1" i="5" a="1"/>
  <c r="ALK1" i="5" a="1"/>
  <c r="AFW1" i="5" a="1"/>
  <c r="AAI1" i="5" a="1"/>
  <c r="UU1" i="5" a="1"/>
  <c r="PG1" i="5" a="1"/>
  <c r="JS1" i="5" a="1"/>
  <c r="EE1" i="5" a="1"/>
  <c r="ALV1" i="5" a="1"/>
  <c r="AGH1" i="5" a="1"/>
  <c r="AAT1" i="5" a="1"/>
  <c r="VF1" i="5" a="1"/>
  <c r="PR1" i="5" a="1"/>
  <c r="KD1" i="5" a="1"/>
  <c r="EP1" i="5" a="1"/>
  <c r="ALU1" i="5" a="1"/>
  <c r="AGG1" i="5" a="1"/>
  <c r="AAS1" i="5" a="1"/>
  <c r="VE1" i="5" a="1"/>
  <c r="PQ1" i="5" a="1"/>
  <c r="KC1" i="5" a="1"/>
  <c r="EO1" i="5" a="1"/>
  <c r="ALT1" i="5" a="1"/>
  <c r="AGF1" i="5" a="1"/>
  <c r="AAR1" i="5" a="1"/>
  <c r="VD1" i="5" a="1"/>
  <c r="PP1" i="5" a="1"/>
  <c r="KB1" i="5" a="1"/>
  <c r="EN1" i="5" a="1"/>
  <c r="ALS1" i="5" a="1"/>
  <c r="AGE1" i="5" a="1"/>
  <c r="AAQ1" i="5" a="1"/>
  <c r="VC1" i="5" a="1"/>
  <c r="PO1" i="5" a="1"/>
  <c r="KA1" i="5" a="1"/>
  <c r="EM1" i="5" a="1"/>
  <c r="AGD1" i="5" a="1"/>
  <c r="JZ1" i="5" a="1"/>
  <c r="ACK1" i="5" a="1"/>
  <c r="GS1" i="5" a="1"/>
  <c r="MG1" i="5" a="1"/>
  <c r="AGB1" i="5" a="1"/>
  <c r="JX1" i="5" a="1"/>
  <c r="ACW1" i="5" a="1"/>
  <c r="ABZ1" i="5" a="1"/>
  <c r="GO1" i="5" a="1"/>
  <c r="KL1" i="5" a="1"/>
  <c r="ADU1" i="5" a="1"/>
  <c r="HR1" i="5" a="1"/>
  <c r="AJH1" i="5" a="1"/>
  <c r="ND1" i="5" a="1"/>
  <c r="AGN1" i="5" a="1"/>
  <c r="SH1" i="5" a="1"/>
  <c r="ZE1" i="5" a="1"/>
  <c r="XU1" i="5" a="1"/>
  <c r="DI1" i="5" a="1"/>
  <c r="MF1" i="5" a="1"/>
  <c r="VX1" i="5" a="1"/>
  <c r="BR1" i="5" a="1"/>
  <c r="IP1" i="5" a="1"/>
  <c r="DV1" i="5" a="1"/>
  <c r="AKB1" i="5" a="1"/>
  <c r="AEY1" i="5" a="1"/>
  <c r="AFJ1" i="5" a="1"/>
  <c r="OS1" i="5" a="1"/>
  <c r="JD1" i="5" a="1"/>
  <c r="PY1" i="5" a="1"/>
  <c r="AAC1" i="5" a="1"/>
  <c r="EK1" i="5" a="1"/>
  <c r="AKE1" i="5" a="1"/>
  <c r="NL1" i="5" a="1"/>
  <c r="TV1" i="5" a="1"/>
  <c r="TT1" i="5" a="1"/>
  <c r="CO1" i="5" a="1"/>
  <c r="AJS1" i="5" a="1"/>
  <c r="SN1" i="5" a="1"/>
  <c r="TJ1" i="5" a="1"/>
  <c r="AEJ1" i="5" a="1"/>
  <c r="ALC1" i="5" a="1"/>
  <c r="AFO1" i="5" a="1"/>
  <c r="AAA1" i="5" a="1"/>
  <c r="UM1" i="5" a="1"/>
  <c r="OY1" i="5" a="1"/>
  <c r="JK1" i="5" a="1"/>
  <c r="DW1" i="5" a="1"/>
  <c r="ALN1" i="5" a="1"/>
  <c r="AFZ1" i="5" a="1"/>
  <c r="AAL1" i="5" a="1"/>
  <c r="UX1" i="5" a="1"/>
  <c r="PJ1" i="5" a="1"/>
  <c r="JV1" i="5" a="1"/>
  <c r="EH1" i="5" a="1"/>
  <c r="ALY1" i="5" a="1"/>
  <c r="AGK1" i="5" a="1"/>
  <c r="AAW1" i="5" a="1"/>
  <c r="VI1" i="5" a="1"/>
  <c r="PU1" i="5" a="1"/>
  <c r="KG1" i="5" a="1"/>
  <c r="AKN1" i="5" a="1"/>
  <c r="AEZ1" i="5" a="1"/>
  <c r="ZL1" i="5" a="1"/>
  <c r="TX1" i="5" a="1"/>
  <c r="OJ1" i="5" a="1"/>
  <c r="IV1" i="5" a="1"/>
  <c r="DH1" i="5" a="1"/>
  <c r="AKY1" i="5" a="1"/>
  <c r="AFK1" i="5" a="1"/>
  <c r="ZW1" i="5" a="1"/>
  <c r="UI1" i="5" a="1"/>
  <c r="OU1" i="5" a="1"/>
  <c r="JG1" i="5" a="1"/>
  <c r="DS1" i="5" a="1"/>
  <c r="ALJ1" i="5" a="1"/>
  <c r="AFV1" i="5" a="1"/>
  <c r="AAH1" i="5" a="1"/>
  <c r="UT1" i="5" a="1"/>
  <c r="PF1" i="5" a="1"/>
  <c r="JR1" i="5" a="1"/>
  <c r="ED1" i="5" a="1"/>
  <c r="ALI1" i="5" a="1"/>
  <c r="AFU1" i="5" a="1"/>
  <c r="AAG1" i="5" a="1"/>
  <c r="US1" i="5" a="1"/>
  <c r="PE1" i="5" a="1"/>
  <c r="JQ1" i="5" a="1"/>
  <c r="EC1" i="5" a="1"/>
  <c r="ALH1" i="5" a="1"/>
  <c r="AFT1" i="5" a="1"/>
  <c r="AAF1" i="5" a="1"/>
  <c r="UR1" i="5" a="1"/>
  <c r="PD1" i="5" a="1"/>
  <c r="JP1" i="5" a="1"/>
  <c r="EB1" i="5" a="1"/>
  <c r="ALG1" i="5" a="1"/>
  <c r="AFS1" i="5" a="1"/>
  <c r="AAE1" i="5" a="1"/>
  <c r="UQ1" i="5" a="1"/>
  <c r="PC1" i="5" a="1"/>
  <c r="JO1" i="5" a="1"/>
  <c r="EA1" i="5" a="1"/>
  <c r="AEH1" i="5" a="1"/>
  <c r="ID1" i="5" a="1"/>
  <c r="ABA1" i="5" a="1"/>
  <c r="AAO1" i="5" a="1"/>
  <c r="FI1" i="5" a="1"/>
  <c r="EJ1" i="5" a="1"/>
  <c r="AEF1" i="5" a="1"/>
  <c r="IB1" i="5" a="1"/>
  <c r="TQ1" i="5" a="1"/>
  <c r="AAD1" i="5" a="1"/>
  <c r="FE1" i="5" a="1"/>
  <c r="DA1" i="5" a="1"/>
  <c r="ABY1" i="5" a="1"/>
  <c r="GH1" i="5" a="1"/>
  <c r="AHL1" i="5" a="1"/>
  <c r="LH1" i="5" a="1"/>
  <c r="AMP1" i="5" a="1"/>
  <c r="QL1" i="5" a="1"/>
  <c r="CZ1" i="5" a="1"/>
  <c r="VY1" i="5" a="1"/>
  <c r="BY1" i="5" a="1"/>
  <c r="KJ1" i="5" a="1"/>
  <c r="UB1" i="5" a="1"/>
  <c r="FU1" i="5" a="1"/>
  <c r="JU1" i="5" a="1"/>
  <c r="DG1" i="5" a="1"/>
  <c r="AFI1" i="5" a="1"/>
  <c r="ZT1" i="5" a="1"/>
  <c r="UE1" i="5" a="1"/>
  <c r="DY1" i="5" a="1"/>
  <c r="HD1" i="5" a="1"/>
  <c r="AFP1" i="5" a="1"/>
  <c r="UC1" i="5" a="1"/>
  <c r="ZC1" i="5" a="1"/>
  <c r="OA1" i="5" a="1"/>
  <c r="AKP1" i="5" a="1"/>
  <c r="TZ1" i="5" a="1"/>
  <c r="DJ1" i="5" a="1"/>
  <c r="OW1" i="5" a="1"/>
  <c r="YN1" i="5" a="1"/>
  <c r="AKA1" i="5" a="1"/>
  <c r="II1" i="5" a="1"/>
  <c r="ZJ1" i="5" a="1"/>
  <c r="AEW1" i="5" a="1"/>
  <c r="AKJ1" i="5" a="1"/>
  <c r="DD1" i="5" a="1"/>
  <c r="OE1" i="5" a="1"/>
  <c r="BP1" i="5" a="1"/>
  <c r="FH1" i="5" a="1"/>
  <c r="YG1" i="5" a="1"/>
  <c r="MT1" i="5" a="1"/>
  <c r="QJ1" i="5" a="1"/>
  <c r="NO1" i="5" a="1"/>
  <c r="AKD1" i="5" a="1"/>
  <c r="IL1" i="5" a="1"/>
  <c r="TY1" i="5" a="1"/>
  <c r="ADP1" i="5" a="1"/>
  <c r="AJO1" i="5" a="1"/>
  <c r="HW1" i="5" a="1"/>
  <c r="YX1" i="5" a="1"/>
  <c r="TI1" i="5" a="1"/>
  <c r="AJX1" i="5" a="1"/>
  <c r="NT1" i="5" a="1"/>
  <c r="NS1" i="5" a="1"/>
  <c r="AED1" i="5" a="1"/>
  <c r="AIR1" i="5" a="1"/>
  <c r="HK1" i="5" a="1"/>
  <c r="SW1" i="5" a="1"/>
  <c r="ADW1" i="5" a="1"/>
  <c r="AKH1" i="5" a="1"/>
  <c r="RU1" i="5" a="1"/>
  <c r="ADD1" i="5" a="1"/>
  <c r="BW1" i="5" a="1"/>
  <c r="NI1" i="5" a="1"/>
  <c r="YI1" i="5" a="1"/>
  <c r="AHB1" i="5" a="1"/>
  <c r="HE1" i="5" a="1"/>
  <c r="YR1" i="5" a="1"/>
  <c r="AKC1" i="5" a="1"/>
  <c r="XH1" i="5" a="1"/>
  <c r="AMO1" i="5" a="1"/>
  <c r="ZA1" i="5" a="1"/>
  <c r="CN1" i="5" a="1"/>
  <c r="HT1" i="5" a="1"/>
  <c r="GG1" i="5" a="1"/>
  <c r="AJR1" i="5" a="1"/>
  <c r="AIK1" i="5" a="1"/>
  <c r="YP1" i="5" a="1"/>
  <c r="YT1" i="5" a="1"/>
  <c r="AAB1" i="5" a="1"/>
  <c r="AJK1" i="5" a="1"/>
  <c r="TB1" i="5" a="1"/>
  <c r="XP1" i="5" a="1"/>
  <c r="AJN1" i="5" a="1"/>
  <c r="HU1" i="5" a="1"/>
  <c r="TG1" i="5" a="1"/>
  <c r="OB1" i="5" a="1"/>
  <c r="ZD1" i="5" a="1"/>
  <c r="AAZ1" i="5" a="1"/>
  <c r="AFF1" i="5" a="1"/>
  <c r="AKR1" i="5" a="1"/>
  <c r="ST1" i="5" a="1"/>
  <c r="YJ1" i="5" a="1"/>
  <c r="ADO1" i="5" a="1"/>
  <c r="QK1" i="5" a="1"/>
  <c r="DZ1" i="5" a="1"/>
  <c r="YK1" i="5" a="1"/>
  <c r="AJG1" i="5" a="1"/>
  <c r="NN1" i="5" a="1"/>
  <c r="SB1" i="5" a="1"/>
  <c r="ADZ1" i="5" a="1"/>
  <c r="CG1" i="5" a="1"/>
  <c r="SU1" i="5" a="1"/>
  <c r="IN1" i="5" a="1"/>
  <c r="FQ1" i="5" a="1"/>
  <c r="WK1" i="5" a="1"/>
  <c r="KX1" i="5" a="1"/>
  <c r="AIV1" i="5" a="1"/>
  <c r="MR1" i="5" a="1"/>
  <c r="HS1" i="5" a="1"/>
  <c r="VA1" i="5" a="1"/>
  <c r="CH1" i="5" a="1"/>
  <c r="AJM1" i="5" a="1"/>
  <c r="AMD1" i="5" a="1"/>
  <c r="NY1" i="5" a="1"/>
  <c r="IK1" i="5" a="1"/>
  <c r="ADS1" i="5" a="1"/>
  <c r="HZ1" i="5" a="1"/>
  <c r="MN1" i="5" a="1"/>
  <c r="YL1" i="5" a="1"/>
  <c r="AJL1" i="5" a="1"/>
  <c r="NG1" i="5" a="1"/>
  <c r="UP1" i="5" a="1"/>
  <c r="UO1" i="5" a="1"/>
  <c r="JB1" i="5" a="1"/>
  <c r="ON1" i="5" a="1"/>
  <c r="GZ1" i="5" a="1"/>
  <c r="IE1" i="5" a="1"/>
  <c r="CD1" i="5" a="1"/>
  <c r="BL1" i="5" a="1"/>
  <c r="WV1" i="5" a="1"/>
  <c r="BA1" i="5" a="1"/>
  <c r="DX1" i="5" a="1"/>
  <c r="NH1" i="5" a="1"/>
  <c r="TM1" i="5" a="1"/>
  <c r="ADY1" i="5" a="1"/>
  <c r="EW1" i="5" a="1"/>
  <c r="YE1" i="5" a="1"/>
  <c r="CL1" i="5" a="1"/>
  <c r="SX1" i="5" a="1"/>
  <c r="ADX1" i="5" a="1"/>
  <c r="CE1" i="5" a="1"/>
  <c r="TE1" i="5" a="1"/>
  <c r="YA1" i="5" a="1"/>
  <c r="OO1" i="5" a="1"/>
  <c r="SM1" i="5" a="1"/>
  <c r="SQ1" i="5" a="1"/>
  <c r="NJ1" i="5" a="1"/>
  <c r="BE1" i="5" a="1"/>
  <c r="XJ1" i="5" a="1"/>
  <c r="NC1" i="5" a="1"/>
  <c r="AEO1" i="5" a="1"/>
  <c r="AJC1" i="5" a="1"/>
  <c r="HV1" i="5" a="1"/>
  <c r="SV1" i="5" a="1"/>
  <c r="AKS1" i="5" a="1"/>
  <c r="ABX1" i="5" a="1"/>
  <c r="WX1" i="5" a="1"/>
  <c r="CP1" i="5" a="1"/>
  <c r="HO1" i="5" a="1"/>
  <c r="CF1" i="5" a="1"/>
  <c r="MY1" i="5" a="1"/>
  <c r="CA1" i="5" a="1"/>
  <c r="AX1" i="5" a="1"/>
  <c r="AV1" i="5" a="1"/>
  <c r="AW1" i="5" a="1"/>
  <c r="AU1" i="5" a="1"/>
  <c r="F27" i="6" a="1"/>
  <c r="F28" i="6" a="1"/>
  <c r="F26" i="6" a="1"/>
  <c r="C27" i="6" a="1"/>
  <c r="C28" i="6" a="1"/>
  <c r="C29" i="6" a="1"/>
  <c r="C30" i="6" a="1"/>
  <c r="C26" i="6" a="1"/>
  <c r="AP40" i="2" l="1"/>
  <c r="AQ39" i="2"/>
  <c r="AP39" i="2"/>
  <c r="AQ38" i="2"/>
  <c r="AQ40" i="2"/>
  <c r="AP38" i="2"/>
  <c r="Z40" i="2"/>
  <c r="M39" i="2"/>
  <c r="AK40" i="2"/>
  <c r="AE40" i="2"/>
  <c r="Y40" i="2"/>
  <c r="S40" i="2"/>
  <c r="M40" i="2"/>
  <c r="G40" i="2"/>
  <c r="AJ39" i="2"/>
  <c r="AD39" i="2"/>
  <c r="X39" i="2"/>
  <c r="R39" i="2"/>
  <c r="L39" i="2"/>
  <c r="AO38" i="2"/>
  <c r="AI38" i="2"/>
  <c r="AC38" i="2"/>
  <c r="W38" i="2"/>
  <c r="Q38" i="2"/>
  <c r="K38" i="2"/>
  <c r="S39" i="2"/>
  <c r="AL40" i="2"/>
  <c r="AK39" i="2"/>
  <c r="AJ38" i="2"/>
  <c r="AJ40" i="2"/>
  <c r="AD40" i="2"/>
  <c r="X40" i="2"/>
  <c r="R40" i="2"/>
  <c r="L40" i="2"/>
  <c r="AO39" i="2"/>
  <c r="AI39" i="2"/>
  <c r="AC39" i="2"/>
  <c r="W39" i="2"/>
  <c r="Q39" i="2"/>
  <c r="K39" i="2"/>
  <c r="AN38" i="2"/>
  <c r="AH38" i="2"/>
  <c r="AB38" i="2"/>
  <c r="V38" i="2"/>
  <c r="P38" i="2"/>
  <c r="J38" i="2"/>
  <c r="R38" i="2"/>
  <c r="AF40" i="2"/>
  <c r="T40" i="2"/>
  <c r="Y39" i="2"/>
  <c r="L38" i="2"/>
  <c r="AO40" i="2"/>
  <c r="AI40" i="2"/>
  <c r="AC40" i="2"/>
  <c r="W40" i="2"/>
  <c r="Q40" i="2"/>
  <c r="K40" i="2"/>
  <c r="AN39" i="2"/>
  <c r="AH39" i="2"/>
  <c r="AB39" i="2"/>
  <c r="V39" i="2"/>
  <c r="P39" i="2"/>
  <c r="J39" i="2"/>
  <c r="AM38" i="2"/>
  <c r="AG38" i="2"/>
  <c r="AA38" i="2"/>
  <c r="U38" i="2"/>
  <c r="O38" i="2"/>
  <c r="I38" i="2"/>
  <c r="AE39" i="2"/>
  <c r="N40" i="2"/>
  <c r="X38" i="2"/>
  <c r="AN40" i="2"/>
  <c r="AH40" i="2"/>
  <c r="AB40" i="2"/>
  <c r="V40" i="2"/>
  <c r="P40" i="2"/>
  <c r="J40" i="2"/>
  <c r="AM39" i="2"/>
  <c r="AG39" i="2"/>
  <c r="AA39" i="2"/>
  <c r="U39" i="2"/>
  <c r="O39" i="2"/>
  <c r="I39" i="2"/>
  <c r="AL38" i="2"/>
  <c r="AF38" i="2"/>
  <c r="Z38" i="2"/>
  <c r="T38" i="2"/>
  <c r="N38" i="2"/>
  <c r="H38" i="2"/>
  <c r="AD38" i="2"/>
  <c r="H40" i="2"/>
  <c r="G39" i="2"/>
  <c r="AM40" i="2"/>
  <c r="AG40" i="2"/>
  <c r="AA40" i="2"/>
  <c r="U40" i="2"/>
  <c r="O40" i="2"/>
  <c r="I40" i="2"/>
  <c r="AL39" i="2"/>
  <c r="AF39" i="2"/>
  <c r="Z39" i="2"/>
  <c r="T39" i="2"/>
  <c r="N39" i="2"/>
  <c r="H39" i="2"/>
  <c r="AK38" i="2"/>
  <c r="AE38" i="2"/>
  <c r="Y38" i="2"/>
  <c r="S38" i="2"/>
  <c r="M38" i="2"/>
  <c r="G38" i="2"/>
  <c r="F40" i="2"/>
  <c r="F39" i="2"/>
  <c r="F38" i="2"/>
  <c r="B36" i="4"/>
  <c r="B37" i="4"/>
  <c r="B38" i="4"/>
  <c r="F28" i="6"/>
  <c r="F27" i="6"/>
  <c r="F26" i="6"/>
  <c r="C30" i="6"/>
  <c r="C29" i="6"/>
  <c r="C28" i="6"/>
  <c r="C27" i="6"/>
  <c r="C26" i="6"/>
  <c r="B2" i="30"/>
  <c r="R23" i="6"/>
  <c r="R8" i="6"/>
  <c r="B3" i="51"/>
  <c r="B4" i="51"/>
  <c r="B2" i="51"/>
  <c r="B5" i="51"/>
  <c r="B6" i="51"/>
  <c r="B7" i="51"/>
  <c r="AA2" i="6"/>
  <c r="B2" i="48"/>
  <c r="B2" i="47"/>
  <c r="B3" i="47"/>
  <c r="B4" i="47"/>
  <c r="B3" i="44"/>
  <c r="B4" i="44"/>
  <c r="B5" i="44"/>
  <c r="B2" i="44"/>
  <c r="B6" i="44"/>
  <c r="O27" i="6"/>
  <c r="B2" i="33"/>
  <c r="B3" i="33"/>
  <c r="L3" i="6"/>
  <c r="L2" i="6"/>
  <c r="B3" i="34"/>
  <c r="B2" i="34"/>
  <c r="B4" i="34"/>
  <c r="B5" i="34"/>
  <c r="B6" i="34"/>
  <c r="I4" i="6"/>
  <c r="B2" i="31"/>
  <c r="B3" i="31"/>
  <c r="B5" i="31"/>
  <c r="B4" i="31"/>
  <c r="B6" i="31"/>
  <c r="B7" i="31"/>
  <c r="B4" i="16"/>
  <c r="B5" i="16"/>
  <c r="B6" i="16"/>
  <c r="B7" i="16"/>
  <c r="B2" i="16"/>
  <c r="B8" i="16"/>
  <c r="B3" i="16"/>
  <c r="B9" i="16"/>
  <c r="AA17" i="6"/>
  <c r="X19" i="6"/>
  <c r="X18" i="6"/>
  <c r="X17" i="6"/>
  <c r="U21" i="6"/>
  <c r="U20" i="6"/>
  <c r="U19" i="6"/>
  <c r="U18" i="6"/>
  <c r="U17" i="6"/>
  <c r="I17" i="6"/>
  <c r="L17" i="6"/>
  <c r="O17" i="6"/>
  <c r="R22" i="6"/>
  <c r="R21" i="6"/>
  <c r="R20" i="6"/>
  <c r="R19" i="6"/>
  <c r="R18" i="6"/>
  <c r="R17" i="6"/>
  <c r="L21" i="6"/>
  <c r="L20" i="6"/>
  <c r="L19" i="6"/>
  <c r="L18" i="6"/>
  <c r="I22" i="6"/>
  <c r="I21" i="6"/>
  <c r="I20" i="6"/>
  <c r="I19" i="6"/>
  <c r="I18" i="6"/>
  <c r="C24" i="6"/>
  <c r="C23" i="6"/>
  <c r="C22" i="6"/>
  <c r="C21" i="6"/>
  <c r="C20" i="6"/>
  <c r="C19" i="6"/>
  <c r="C18" i="6"/>
  <c r="C17" i="6"/>
  <c r="O25" i="6"/>
  <c r="O24" i="6"/>
  <c r="O23" i="6"/>
  <c r="O22" i="6"/>
  <c r="O21" i="6"/>
  <c r="O26" i="6"/>
  <c r="O20" i="6"/>
  <c r="O19" i="6"/>
  <c r="O18" i="6"/>
  <c r="AU1" i="5"/>
  <c r="AMB1" i="5"/>
  <c r="FT1" i="5"/>
  <c r="RU1" i="5"/>
  <c r="AIK1" i="5"/>
  <c r="BQ1" i="5"/>
  <c r="EK1" i="5"/>
  <c r="FU1" i="5"/>
  <c r="IP1" i="5"/>
  <c r="MH1" i="5"/>
  <c r="OD1" i="5"/>
  <c r="PZ1" i="5"/>
  <c r="RV1" i="5"/>
  <c r="TR1" i="5"/>
  <c r="VN1" i="5"/>
  <c r="XJ1" i="5"/>
  <c r="AMD1" i="5"/>
  <c r="BR1" i="5"/>
  <c r="DB1" i="5"/>
  <c r="EL1" i="5"/>
  <c r="FV1" i="5"/>
  <c r="HF1" i="5"/>
  <c r="IZ1" i="5"/>
  <c r="KV1" i="5"/>
  <c r="MR1" i="5"/>
  <c r="ON1" i="5"/>
  <c r="QJ1" i="5"/>
  <c r="SF1" i="5"/>
  <c r="UB1" i="5"/>
  <c r="VX1" i="5"/>
  <c r="XT1" i="5"/>
  <c r="ZP1" i="5"/>
  <c r="ABL1" i="5"/>
  <c r="ADH1" i="5"/>
  <c r="AFD1" i="5"/>
  <c r="AGZ1" i="5"/>
  <c r="AIV1" i="5"/>
  <c r="AKR1" i="5"/>
  <c r="AMN1" i="5"/>
  <c r="EG1" i="5"/>
  <c r="KJ1" i="5"/>
  <c r="MF1" i="5"/>
  <c r="PX1" i="5"/>
  <c r="TP1" i="5"/>
  <c r="VL1" i="5"/>
  <c r="ACV1" i="5"/>
  <c r="OC1" i="5"/>
  <c r="AMC1" i="5"/>
  <c r="HE1" i="5"/>
  <c r="AKH1" i="5"/>
  <c r="BY1" i="5"/>
  <c r="DI1" i="5"/>
  <c r="ES1" i="5"/>
  <c r="GC1" i="5"/>
  <c r="HM1" i="5"/>
  <c r="JA1" i="5"/>
  <c r="KW1" i="5"/>
  <c r="MS1" i="5"/>
  <c r="OO1" i="5"/>
  <c r="QK1" i="5"/>
  <c r="SG1" i="5"/>
  <c r="UC1" i="5"/>
  <c r="VY1" i="5"/>
  <c r="XU1" i="5"/>
  <c r="ZQ1" i="5"/>
  <c r="ABM1" i="5"/>
  <c r="ADI1" i="5"/>
  <c r="AFE1" i="5"/>
  <c r="AHA1" i="5"/>
  <c r="AIW1" i="5"/>
  <c r="AKS1" i="5"/>
  <c r="AMO1" i="5"/>
  <c r="HA1" i="5"/>
  <c r="AIJ1" i="5"/>
  <c r="CZ1" i="5"/>
  <c r="ZE1" i="5"/>
  <c r="CB1" i="5"/>
  <c r="DL1" i="5"/>
  <c r="EV1" i="5"/>
  <c r="GF1" i="5"/>
  <c r="HP1" i="5"/>
  <c r="JB1" i="5"/>
  <c r="KX1" i="5"/>
  <c r="MT1" i="5"/>
  <c r="OP1" i="5"/>
  <c r="QL1" i="5"/>
  <c r="SH1" i="5"/>
  <c r="UD1" i="5"/>
  <c r="VZ1" i="5"/>
  <c r="XV1" i="5"/>
  <c r="ZR1" i="5"/>
  <c r="ABN1" i="5"/>
  <c r="ADJ1" i="5"/>
  <c r="AFF1" i="5"/>
  <c r="AHB1" i="5"/>
  <c r="AIX1" i="5"/>
  <c r="AKT1" i="5"/>
  <c r="AMP1" i="5"/>
  <c r="AGN1" i="5"/>
  <c r="KK1" i="5"/>
  <c r="AKG1" i="5"/>
  <c r="ZF1" i="5"/>
  <c r="CC1" i="5"/>
  <c r="DM1" i="5"/>
  <c r="EW1" i="5"/>
  <c r="GG1" i="5"/>
  <c r="HQ1" i="5"/>
  <c r="JL1" i="5"/>
  <c r="LH1" i="5"/>
  <c r="ND1" i="5"/>
  <c r="OZ1" i="5"/>
  <c r="QV1" i="5"/>
  <c r="SR1" i="5"/>
  <c r="UN1" i="5"/>
  <c r="WJ1" i="5"/>
  <c r="YF1" i="5"/>
  <c r="AAB1" i="5"/>
  <c r="ABX1" i="5"/>
  <c r="ADT1" i="5"/>
  <c r="AFP1" i="5"/>
  <c r="AHL1" i="5"/>
  <c r="AJH1" i="5"/>
  <c r="ALD1" i="5"/>
  <c r="AMZ1" i="5"/>
  <c r="AER1" i="5"/>
  <c r="XI1" i="5"/>
  <c r="AGP1" i="5"/>
  <c r="CD1" i="5"/>
  <c r="DN1" i="5"/>
  <c r="EX1" i="5"/>
  <c r="GH1" i="5"/>
  <c r="HR1" i="5"/>
  <c r="JM1" i="5"/>
  <c r="LI1" i="5"/>
  <c r="NE1" i="5"/>
  <c r="PA1" i="5"/>
  <c r="QW1" i="5"/>
  <c r="SS1" i="5"/>
  <c r="UO1" i="5"/>
  <c r="WK1" i="5"/>
  <c r="YG1" i="5"/>
  <c r="AAC1" i="5"/>
  <c r="ABY1" i="5"/>
  <c r="ADU1" i="5"/>
  <c r="AFQ1" i="5"/>
  <c r="AHM1" i="5"/>
  <c r="AJI1" i="5"/>
  <c r="ALE1" i="5"/>
  <c r="ANA1" i="5"/>
  <c r="BM1" i="5"/>
  <c r="AAZ1" i="5"/>
  <c r="IO1" i="5"/>
  <c r="AGO1" i="5"/>
  <c r="DA1" i="5"/>
  <c r="KL1" i="5"/>
  <c r="ABB1" i="5"/>
  <c r="BA1" i="5"/>
  <c r="CK1" i="5"/>
  <c r="DU1" i="5"/>
  <c r="FE1" i="5"/>
  <c r="GO1" i="5"/>
  <c r="HY1" i="5"/>
  <c r="JN1" i="5"/>
  <c r="LJ1" i="5"/>
  <c r="NF1" i="5"/>
  <c r="PB1" i="5"/>
  <c r="QX1" i="5"/>
  <c r="ST1" i="5"/>
  <c r="UP1" i="5"/>
  <c r="WL1" i="5"/>
  <c r="YH1" i="5"/>
  <c r="AAD1" i="5"/>
  <c r="ABZ1" i="5"/>
  <c r="ADV1" i="5"/>
  <c r="AFR1" i="5"/>
  <c r="AHN1" i="5"/>
  <c r="AJJ1" i="5"/>
  <c r="ALF1" i="5"/>
  <c r="ANB1" i="5"/>
  <c r="FQ1" i="5"/>
  <c r="ZD1" i="5"/>
  <c r="HD1" i="5"/>
  <c r="TQ1" i="5"/>
  <c r="ACW1" i="5"/>
  <c r="AIL1" i="5"/>
  <c r="BD1" i="5"/>
  <c r="CN1" i="5"/>
  <c r="DX1" i="5"/>
  <c r="FH1" i="5"/>
  <c r="GR1" i="5"/>
  <c r="IB1" i="5"/>
  <c r="JX1" i="5"/>
  <c r="LT1" i="5"/>
  <c r="NP1" i="5"/>
  <c r="PL1" i="5"/>
  <c r="RH1" i="5"/>
  <c r="TD1" i="5"/>
  <c r="UZ1" i="5"/>
  <c r="WV1" i="5"/>
  <c r="YR1" i="5"/>
  <c r="AAN1" i="5"/>
  <c r="ACJ1" i="5"/>
  <c r="AEF1" i="5"/>
  <c r="AGB1" i="5"/>
  <c r="AHX1" i="5"/>
  <c r="AJT1" i="5"/>
  <c r="ALP1" i="5"/>
  <c r="ANL1" i="5"/>
  <c r="CW1" i="5"/>
  <c r="IN1" i="5"/>
  <c r="OB1" i="5"/>
  <c r="RT1" i="5"/>
  <c r="AKF1" i="5"/>
  <c r="EJ1" i="5"/>
  <c r="MG1" i="5"/>
  <c r="VM1" i="5"/>
  <c r="AES1" i="5"/>
  <c r="AET1" i="5"/>
  <c r="BE1" i="5"/>
  <c r="CO1" i="5"/>
  <c r="DY1" i="5"/>
  <c r="FI1" i="5"/>
  <c r="GS1" i="5"/>
  <c r="IC1" i="5"/>
  <c r="JY1" i="5"/>
  <c r="LU1" i="5"/>
  <c r="NQ1" i="5"/>
  <c r="PM1" i="5"/>
  <c r="RI1" i="5"/>
  <c r="TE1" i="5"/>
  <c r="VA1" i="5"/>
  <c r="WW1" i="5"/>
  <c r="YS1" i="5"/>
  <c r="AAO1" i="5"/>
  <c r="ACK1" i="5"/>
  <c r="AEG1" i="5"/>
  <c r="AGC1" i="5"/>
  <c r="AHY1" i="5"/>
  <c r="AJU1" i="5"/>
  <c r="ALQ1" i="5"/>
  <c r="ANM1" i="5"/>
  <c r="XH1" i="5"/>
  <c r="BP1" i="5"/>
  <c r="PY1" i="5"/>
  <c r="ABA1" i="5"/>
  <c r="ACX1" i="5"/>
  <c r="BF1" i="5"/>
  <c r="CP1" i="5"/>
  <c r="DZ1" i="5"/>
  <c r="FJ1" i="5"/>
  <c r="GT1" i="5"/>
  <c r="ID1" i="5"/>
  <c r="JZ1" i="5"/>
  <c r="LV1" i="5"/>
  <c r="NR1" i="5"/>
  <c r="PN1" i="5"/>
  <c r="RJ1" i="5"/>
  <c r="TF1" i="5"/>
  <c r="VB1" i="5"/>
  <c r="WX1" i="5"/>
  <c r="YT1" i="5"/>
  <c r="AAP1" i="5"/>
  <c r="ACL1" i="5"/>
  <c r="AEH1" i="5"/>
  <c r="AGD1" i="5"/>
  <c r="AHZ1" i="5"/>
  <c r="AJV1" i="5"/>
  <c r="ALR1" i="5"/>
  <c r="ANN1" i="5"/>
  <c r="BG1" i="5"/>
  <c r="BS1" i="5"/>
  <c r="CE1" i="5"/>
  <c r="CQ1" i="5"/>
  <c r="DC1" i="5"/>
  <c r="DO1" i="5"/>
  <c r="EA1" i="5"/>
  <c r="EM1" i="5"/>
  <c r="EY1" i="5"/>
  <c r="FK1" i="5"/>
  <c r="FW1" i="5"/>
  <c r="GI1" i="5"/>
  <c r="GU1" i="5"/>
  <c r="HG1" i="5"/>
  <c r="HS1" i="5"/>
  <c r="IE1" i="5"/>
  <c r="IQ1" i="5"/>
  <c r="JC1" i="5"/>
  <c r="JO1" i="5"/>
  <c r="KA1" i="5"/>
  <c r="KM1" i="5"/>
  <c r="KY1" i="5"/>
  <c r="LK1" i="5"/>
  <c r="LW1" i="5"/>
  <c r="MI1" i="5"/>
  <c r="MU1" i="5"/>
  <c r="NG1" i="5"/>
  <c r="NS1" i="5"/>
  <c r="OE1" i="5"/>
  <c r="OQ1" i="5"/>
  <c r="PC1" i="5"/>
  <c r="PO1" i="5"/>
  <c r="QA1" i="5"/>
  <c r="QM1" i="5"/>
  <c r="QY1" i="5"/>
  <c r="RK1" i="5"/>
  <c r="RW1" i="5"/>
  <c r="SI1" i="5"/>
  <c r="SU1" i="5"/>
  <c r="TG1" i="5"/>
  <c r="TS1" i="5"/>
  <c r="UE1" i="5"/>
  <c r="UQ1" i="5"/>
  <c r="VC1" i="5"/>
  <c r="VO1" i="5"/>
  <c r="WA1" i="5"/>
  <c r="WM1" i="5"/>
  <c r="WY1" i="5"/>
  <c r="XK1" i="5"/>
  <c r="XW1" i="5"/>
  <c r="YI1" i="5"/>
  <c r="YU1" i="5"/>
  <c r="ZG1" i="5"/>
  <c r="ZS1" i="5"/>
  <c r="AAE1" i="5"/>
  <c r="AAQ1" i="5"/>
  <c r="ABC1" i="5"/>
  <c r="ABO1" i="5"/>
  <c r="ACA1" i="5"/>
  <c r="ACM1" i="5"/>
  <c r="ACY1" i="5"/>
  <c r="ADK1" i="5"/>
  <c r="ADW1" i="5"/>
  <c r="AEI1" i="5"/>
  <c r="AEU1" i="5"/>
  <c r="AFG1" i="5"/>
  <c r="AFS1" i="5"/>
  <c r="AGE1" i="5"/>
  <c r="AGQ1" i="5"/>
  <c r="AHC1" i="5"/>
  <c r="AHO1" i="5"/>
  <c r="AIA1" i="5"/>
  <c r="AIM1" i="5"/>
  <c r="AIY1" i="5"/>
  <c r="AJK1" i="5"/>
  <c r="AJW1" i="5"/>
  <c r="AKI1" i="5"/>
  <c r="AKU1" i="5"/>
  <c r="ALG1" i="5"/>
  <c r="ALS1" i="5"/>
  <c r="AME1" i="5"/>
  <c r="AMQ1" i="5"/>
  <c r="ANC1" i="5"/>
  <c r="ANO1" i="5"/>
  <c r="AV1" i="5"/>
  <c r="BH1" i="5"/>
  <c r="BT1" i="5"/>
  <c r="CF1" i="5"/>
  <c r="CR1" i="5"/>
  <c r="DD1" i="5"/>
  <c r="DP1" i="5"/>
  <c r="EB1" i="5"/>
  <c r="EN1" i="5"/>
  <c r="EZ1" i="5"/>
  <c r="FL1" i="5"/>
  <c r="FX1" i="5"/>
  <c r="GJ1" i="5"/>
  <c r="GV1" i="5"/>
  <c r="HH1" i="5"/>
  <c r="HT1" i="5"/>
  <c r="IF1" i="5"/>
  <c r="IR1" i="5"/>
  <c r="JD1" i="5"/>
  <c r="JP1" i="5"/>
  <c r="KB1" i="5"/>
  <c r="KN1" i="5"/>
  <c r="KZ1" i="5"/>
  <c r="LL1" i="5"/>
  <c r="LX1" i="5"/>
  <c r="MJ1" i="5"/>
  <c r="MV1" i="5"/>
  <c r="NH1" i="5"/>
  <c r="NT1" i="5"/>
  <c r="OF1" i="5"/>
  <c r="OR1" i="5"/>
  <c r="PD1" i="5"/>
  <c r="PP1" i="5"/>
  <c r="QB1" i="5"/>
  <c r="QN1" i="5"/>
  <c r="QZ1" i="5"/>
  <c r="RL1" i="5"/>
  <c r="RX1" i="5"/>
  <c r="SJ1" i="5"/>
  <c r="SV1" i="5"/>
  <c r="TH1" i="5"/>
  <c r="TT1" i="5"/>
  <c r="UF1" i="5"/>
  <c r="UR1" i="5"/>
  <c r="VD1" i="5"/>
  <c r="VP1" i="5"/>
  <c r="WB1" i="5"/>
  <c r="WN1" i="5"/>
  <c r="WZ1" i="5"/>
  <c r="XL1" i="5"/>
  <c r="XX1" i="5"/>
  <c r="YJ1" i="5"/>
  <c r="YV1" i="5"/>
  <c r="ZH1" i="5"/>
  <c r="ZT1" i="5"/>
  <c r="AAF1" i="5"/>
  <c r="AAR1" i="5"/>
  <c r="ABD1" i="5"/>
  <c r="ABP1" i="5"/>
  <c r="ACB1" i="5"/>
  <c r="ACN1" i="5"/>
  <c r="ACZ1" i="5"/>
  <c r="ADL1" i="5"/>
  <c r="ADX1" i="5"/>
  <c r="AEJ1" i="5"/>
  <c r="AEV1" i="5"/>
  <c r="AFH1" i="5"/>
  <c r="AFT1" i="5"/>
  <c r="AGF1" i="5"/>
  <c r="AGR1" i="5"/>
  <c r="AHD1" i="5"/>
  <c r="AHP1" i="5"/>
  <c r="AIB1" i="5"/>
  <c r="AIN1" i="5"/>
  <c r="AIZ1" i="5"/>
  <c r="AJL1" i="5"/>
  <c r="AJX1" i="5"/>
  <c r="AKJ1" i="5"/>
  <c r="AKV1" i="5"/>
  <c r="ALH1" i="5"/>
  <c r="ALT1" i="5"/>
  <c r="AMF1" i="5"/>
  <c r="AMR1" i="5"/>
  <c r="AND1" i="5"/>
  <c r="ANP1" i="5"/>
  <c r="AW1" i="5"/>
  <c r="BI1" i="5"/>
  <c r="BU1" i="5"/>
  <c r="CG1" i="5"/>
  <c r="CS1" i="5"/>
  <c r="DE1" i="5"/>
  <c r="DQ1" i="5"/>
  <c r="EC1" i="5"/>
  <c r="EO1" i="5"/>
  <c r="FA1" i="5"/>
  <c r="FM1" i="5"/>
  <c r="FY1" i="5"/>
  <c r="GK1" i="5"/>
  <c r="GW1" i="5"/>
  <c r="HI1" i="5"/>
  <c r="HU1" i="5"/>
  <c r="IG1" i="5"/>
  <c r="IS1" i="5"/>
  <c r="JE1" i="5"/>
  <c r="JQ1" i="5"/>
  <c r="KC1" i="5"/>
  <c r="KO1" i="5"/>
  <c r="LA1" i="5"/>
  <c r="LM1" i="5"/>
  <c r="LY1" i="5"/>
  <c r="MK1" i="5"/>
  <c r="MW1" i="5"/>
  <c r="NI1" i="5"/>
  <c r="NU1" i="5"/>
  <c r="OG1" i="5"/>
  <c r="OS1" i="5"/>
  <c r="PE1" i="5"/>
  <c r="PQ1" i="5"/>
  <c r="QC1" i="5"/>
  <c r="QO1" i="5"/>
  <c r="RA1" i="5"/>
  <c r="RM1" i="5"/>
  <c r="RY1" i="5"/>
  <c r="SK1" i="5"/>
  <c r="SW1" i="5"/>
  <c r="TI1" i="5"/>
  <c r="TU1" i="5"/>
  <c r="UG1" i="5"/>
  <c r="US1" i="5"/>
  <c r="VE1" i="5"/>
  <c r="VQ1" i="5"/>
  <c r="WC1" i="5"/>
  <c r="WO1" i="5"/>
  <c r="XA1" i="5"/>
  <c r="XM1" i="5"/>
  <c r="XY1" i="5"/>
  <c r="YK1" i="5"/>
  <c r="YW1" i="5"/>
  <c r="ZI1" i="5"/>
  <c r="ZU1" i="5"/>
  <c r="AAG1" i="5"/>
  <c r="AAS1" i="5"/>
  <c r="ABE1" i="5"/>
  <c r="ABQ1" i="5"/>
  <c r="ACC1" i="5"/>
  <c r="ACO1" i="5"/>
  <c r="ADA1" i="5"/>
  <c r="ADM1" i="5"/>
  <c r="ADY1" i="5"/>
  <c r="AEK1" i="5"/>
  <c r="AEW1" i="5"/>
  <c r="AFI1" i="5"/>
  <c r="AFU1" i="5"/>
  <c r="AGG1" i="5"/>
  <c r="AGS1" i="5"/>
  <c r="AHE1" i="5"/>
  <c r="AHQ1" i="5"/>
  <c r="AIC1" i="5"/>
  <c r="AIO1" i="5"/>
  <c r="AJA1" i="5"/>
  <c r="AJM1" i="5"/>
  <c r="AJY1" i="5"/>
  <c r="AKK1" i="5"/>
  <c r="AKW1" i="5"/>
  <c r="ALI1" i="5"/>
  <c r="ALU1" i="5"/>
  <c r="AMG1" i="5"/>
  <c r="AMS1" i="5"/>
  <c r="ANE1" i="5"/>
  <c r="ANQ1" i="5"/>
  <c r="AX1" i="5"/>
  <c r="BJ1" i="5"/>
  <c r="BV1" i="5"/>
  <c r="CH1" i="5"/>
  <c r="CT1" i="5"/>
  <c r="DF1" i="5"/>
  <c r="DR1" i="5"/>
  <c r="ED1" i="5"/>
  <c r="EP1" i="5"/>
  <c r="FB1" i="5"/>
  <c r="FN1" i="5"/>
  <c r="FZ1" i="5"/>
  <c r="GL1" i="5"/>
  <c r="GX1" i="5"/>
  <c r="HJ1" i="5"/>
  <c r="HV1" i="5"/>
  <c r="IH1" i="5"/>
  <c r="IT1" i="5"/>
  <c r="JF1" i="5"/>
  <c r="JR1" i="5"/>
  <c r="KD1" i="5"/>
  <c r="KP1" i="5"/>
  <c r="LB1" i="5"/>
  <c r="LN1" i="5"/>
  <c r="LZ1" i="5"/>
  <c r="ML1" i="5"/>
  <c r="MX1" i="5"/>
  <c r="NJ1" i="5"/>
  <c r="NV1" i="5"/>
  <c r="OH1" i="5"/>
  <c r="OT1" i="5"/>
  <c r="PF1" i="5"/>
  <c r="PR1" i="5"/>
  <c r="QD1" i="5"/>
  <c r="QP1" i="5"/>
  <c r="RB1" i="5"/>
  <c r="RN1" i="5"/>
  <c r="RZ1" i="5"/>
  <c r="SL1" i="5"/>
  <c r="SX1" i="5"/>
  <c r="TJ1" i="5"/>
  <c r="TV1" i="5"/>
  <c r="UH1" i="5"/>
  <c r="UT1" i="5"/>
  <c r="VF1" i="5"/>
  <c r="VR1" i="5"/>
  <c r="WD1" i="5"/>
  <c r="WP1" i="5"/>
  <c r="XB1" i="5"/>
  <c r="XN1" i="5"/>
  <c r="XZ1" i="5"/>
  <c r="YL1" i="5"/>
  <c r="YX1" i="5"/>
  <c r="ZJ1" i="5"/>
  <c r="ZV1" i="5"/>
  <c r="AAH1" i="5"/>
  <c r="AAT1" i="5"/>
  <c r="ABF1" i="5"/>
  <c r="ABR1" i="5"/>
  <c r="ACD1" i="5"/>
  <c r="ACP1" i="5"/>
  <c r="ADB1" i="5"/>
  <c r="ADN1" i="5"/>
  <c r="ADZ1" i="5"/>
  <c r="AEL1" i="5"/>
  <c r="AEX1" i="5"/>
  <c r="AFJ1" i="5"/>
  <c r="AFV1" i="5"/>
  <c r="AGH1" i="5"/>
  <c r="AGT1" i="5"/>
  <c r="AHF1" i="5"/>
  <c r="AHR1" i="5"/>
  <c r="AID1" i="5"/>
  <c r="AIP1" i="5"/>
  <c r="AJB1" i="5"/>
  <c r="AJN1" i="5"/>
  <c r="AJZ1" i="5"/>
  <c r="AKL1" i="5"/>
  <c r="AKX1" i="5"/>
  <c r="ALJ1" i="5"/>
  <c r="ALV1" i="5"/>
  <c r="AMH1" i="5"/>
  <c r="AMT1" i="5"/>
  <c r="ANF1" i="5"/>
  <c r="ANR1" i="5"/>
  <c r="AY1" i="5"/>
  <c r="BK1" i="5"/>
  <c r="BW1" i="5"/>
  <c r="CI1" i="5"/>
  <c r="CU1" i="5"/>
  <c r="DG1" i="5"/>
  <c r="DS1" i="5"/>
  <c r="EE1" i="5"/>
  <c r="EQ1" i="5"/>
  <c r="FC1" i="5"/>
  <c r="FO1" i="5"/>
  <c r="GA1" i="5"/>
  <c r="GM1" i="5"/>
  <c r="GY1" i="5"/>
  <c r="HK1" i="5"/>
  <c r="HW1" i="5"/>
  <c r="II1" i="5"/>
  <c r="IU1" i="5"/>
  <c r="JG1" i="5"/>
  <c r="JS1" i="5"/>
  <c r="KE1" i="5"/>
  <c r="KQ1" i="5"/>
  <c r="LC1" i="5"/>
  <c r="LO1" i="5"/>
  <c r="MA1" i="5"/>
  <c r="MM1" i="5"/>
  <c r="MY1" i="5"/>
  <c r="NK1" i="5"/>
  <c r="NW1" i="5"/>
  <c r="OI1" i="5"/>
  <c r="OU1" i="5"/>
  <c r="PG1" i="5"/>
  <c r="PS1" i="5"/>
  <c r="QE1" i="5"/>
  <c r="QQ1" i="5"/>
  <c r="RC1" i="5"/>
  <c r="RO1" i="5"/>
  <c r="SA1" i="5"/>
  <c r="SM1" i="5"/>
  <c r="SY1" i="5"/>
  <c r="TK1" i="5"/>
  <c r="TW1" i="5"/>
  <c r="UI1" i="5"/>
  <c r="UU1" i="5"/>
  <c r="VG1" i="5"/>
  <c r="VS1" i="5"/>
  <c r="WE1" i="5"/>
  <c r="WQ1" i="5"/>
  <c r="XC1" i="5"/>
  <c r="XO1" i="5"/>
  <c r="YA1" i="5"/>
  <c r="YM1" i="5"/>
  <c r="YY1" i="5"/>
  <c r="ZK1" i="5"/>
  <c r="ZW1" i="5"/>
  <c r="AAI1" i="5"/>
  <c r="AAU1" i="5"/>
  <c r="ABG1" i="5"/>
  <c r="ABS1" i="5"/>
  <c r="ACE1" i="5"/>
  <c r="ACQ1" i="5"/>
  <c r="ADC1" i="5"/>
  <c r="ADO1" i="5"/>
  <c r="AEA1" i="5"/>
  <c r="AEM1" i="5"/>
  <c r="AEY1" i="5"/>
  <c r="AFK1" i="5"/>
  <c r="AFW1" i="5"/>
  <c r="AGI1" i="5"/>
  <c r="AGU1" i="5"/>
  <c r="AHG1" i="5"/>
  <c r="AHS1" i="5"/>
  <c r="AIE1" i="5"/>
  <c r="AIQ1" i="5"/>
  <c r="AJC1" i="5"/>
  <c r="AJO1" i="5"/>
  <c r="AKA1" i="5"/>
  <c r="AKM1" i="5"/>
  <c r="AKY1" i="5"/>
  <c r="ALK1" i="5"/>
  <c r="ALW1" i="5"/>
  <c r="AMI1" i="5"/>
  <c r="AMU1" i="5"/>
  <c r="ANG1" i="5"/>
  <c r="ANS1" i="5"/>
  <c r="AZ1" i="5"/>
  <c r="BL1" i="5"/>
  <c r="BX1" i="5"/>
  <c r="CJ1" i="5"/>
  <c r="CV1" i="5"/>
  <c r="DH1" i="5"/>
  <c r="DT1" i="5"/>
  <c r="EF1" i="5"/>
  <c r="ER1" i="5"/>
  <c r="FD1" i="5"/>
  <c r="FP1" i="5"/>
  <c r="GB1" i="5"/>
  <c r="GN1" i="5"/>
  <c r="GZ1" i="5"/>
  <c r="HL1" i="5"/>
  <c r="HX1" i="5"/>
  <c r="IJ1" i="5"/>
  <c r="IV1" i="5"/>
  <c r="JH1" i="5"/>
  <c r="JT1" i="5"/>
  <c r="KF1" i="5"/>
  <c r="KR1" i="5"/>
  <c r="LD1" i="5"/>
  <c r="LP1" i="5"/>
  <c r="MB1" i="5"/>
  <c r="MN1" i="5"/>
  <c r="MZ1" i="5"/>
  <c r="NL1" i="5"/>
  <c r="NX1" i="5"/>
  <c r="OJ1" i="5"/>
  <c r="OV1" i="5"/>
  <c r="PH1" i="5"/>
  <c r="PT1" i="5"/>
  <c r="QF1" i="5"/>
  <c r="QR1" i="5"/>
  <c r="RD1" i="5"/>
  <c r="RP1" i="5"/>
  <c r="SB1" i="5"/>
  <c r="SN1" i="5"/>
  <c r="SZ1" i="5"/>
  <c r="TL1" i="5"/>
  <c r="TX1" i="5"/>
  <c r="UJ1" i="5"/>
  <c r="UV1" i="5"/>
  <c r="VH1" i="5"/>
  <c r="VT1" i="5"/>
  <c r="WF1" i="5"/>
  <c r="WR1" i="5"/>
  <c r="XD1" i="5"/>
  <c r="XP1" i="5"/>
  <c r="YB1" i="5"/>
  <c r="YN1" i="5"/>
  <c r="YZ1" i="5"/>
  <c r="ZL1" i="5"/>
  <c r="ZX1" i="5"/>
  <c r="AAJ1" i="5"/>
  <c r="AAV1" i="5"/>
  <c r="ABH1" i="5"/>
  <c r="ABT1" i="5"/>
  <c r="ACF1" i="5"/>
  <c r="ACR1" i="5"/>
  <c r="ADD1" i="5"/>
  <c r="ADP1" i="5"/>
  <c r="AEB1" i="5"/>
  <c r="AEN1" i="5"/>
  <c r="AEZ1" i="5"/>
  <c r="AFL1" i="5"/>
  <c r="AFX1" i="5"/>
  <c r="AGJ1" i="5"/>
  <c r="AGV1" i="5"/>
  <c r="AHH1" i="5"/>
  <c r="AHT1" i="5"/>
  <c r="AIF1" i="5"/>
  <c r="AIR1" i="5"/>
  <c r="AJD1" i="5"/>
  <c r="AJP1" i="5"/>
  <c r="AKB1" i="5"/>
  <c r="AKN1" i="5"/>
  <c r="AKZ1" i="5"/>
  <c r="ALL1" i="5"/>
  <c r="ALX1" i="5"/>
  <c r="AMJ1" i="5"/>
  <c r="AMV1" i="5"/>
  <c r="ANH1" i="5"/>
  <c r="ANT1" i="5"/>
  <c r="IK1" i="5"/>
  <c r="IW1" i="5"/>
  <c r="JI1" i="5"/>
  <c r="JU1" i="5"/>
  <c r="KG1" i="5"/>
  <c r="KS1" i="5"/>
  <c r="LE1" i="5"/>
  <c r="LQ1" i="5"/>
  <c r="MC1" i="5"/>
  <c r="MO1" i="5"/>
  <c r="NA1" i="5"/>
  <c r="NM1" i="5"/>
  <c r="NY1" i="5"/>
  <c r="OK1" i="5"/>
  <c r="OW1" i="5"/>
  <c r="PI1" i="5"/>
  <c r="PU1" i="5"/>
  <c r="QG1" i="5"/>
  <c r="QS1" i="5"/>
  <c r="RE1" i="5"/>
  <c r="RQ1" i="5"/>
  <c r="SC1" i="5"/>
  <c r="SO1" i="5"/>
  <c r="TA1" i="5"/>
  <c r="TM1" i="5"/>
  <c r="TY1" i="5"/>
  <c r="UK1" i="5"/>
  <c r="UW1" i="5"/>
  <c r="VI1" i="5"/>
  <c r="VU1" i="5"/>
  <c r="WG1" i="5"/>
  <c r="WS1" i="5"/>
  <c r="XE1" i="5"/>
  <c r="XQ1" i="5"/>
  <c r="YC1" i="5"/>
  <c r="YO1" i="5"/>
  <c r="ZA1" i="5"/>
  <c r="ZM1" i="5"/>
  <c r="ZY1" i="5"/>
  <c r="AAK1" i="5"/>
  <c r="AAW1" i="5"/>
  <c r="ABI1" i="5"/>
  <c r="ABU1" i="5"/>
  <c r="ACG1" i="5"/>
  <c r="ACS1" i="5"/>
  <c r="ADE1" i="5"/>
  <c r="ADQ1" i="5"/>
  <c r="AEC1" i="5"/>
  <c r="AEO1" i="5"/>
  <c r="AFA1" i="5"/>
  <c r="AFM1" i="5"/>
  <c r="AFY1" i="5"/>
  <c r="AGK1" i="5"/>
  <c r="AGW1" i="5"/>
  <c r="AHI1" i="5"/>
  <c r="AHU1" i="5"/>
  <c r="AIG1" i="5"/>
  <c r="AIS1" i="5"/>
  <c r="AJE1" i="5"/>
  <c r="AJQ1" i="5"/>
  <c r="AKC1" i="5"/>
  <c r="AKO1" i="5"/>
  <c r="ALA1" i="5"/>
  <c r="ALM1" i="5"/>
  <c r="ALY1" i="5"/>
  <c r="AMK1" i="5"/>
  <c r="AMW1" i="5"/>
  <c r="ANI1" i="5"/>
  <c r="ANU1" i="5"/>
  <c r="BB1" i="5"/>
  <c r="BN1" i="5"/>
  <c r="BZ1" i="5"/>
  <c r="CL1" i="5"/>
  <c r="CX1" i="5"/>
  <c r="DJ1" i="5"/>
  <c r="DV1" i="5"/>
  <c r="EH1" i="5"/>
  <c r="ET1" i="5"/>
  <c r="FF1" i="5"/>
  <c r="FR1" i="5"/>
  <c r="GD1" i="5"/>
  <c r="GP1" i="5"/>
  <c r="HB1" i="5"/>
  <c r="HN1" i="5"/>
  <c r="HZ1" i="5"/>
  <c r="IL1" i="5"/>
  <c r="IX1" i="5"/>
  <c r="JJ1" i="5"/>
  <c r="JV1" i="5"/>
  <c r="KH1" i="5"/>
  <c r="KT1" i="5"/>
  <c r="LF1" i="5"/>
  <c r="LR1" i="5"/>
  <c r="MD1" i="5"/>
  <c r="MP1" i="5"/>
  <c r="NB1" i="5"/>
  <c r="NN1" i="5"/>
  <c r="NZ1" i="5"/>
  <c r="OL1" i="5"/>
  <c r="OX1" i="5"/>
  <c r="PJ1" i="5"/>
  <c r="PV1" i="5"/>
  <c r="QH1" i="5"/>
  <c r="QT1" i="5"/>
  <c r="RF1" i="5"/>
  <c r="RR1" i="5"/>
  <c r="SD1" i="5"/>
  <c r="SP1" i="5"/>
  <c r="TB1" i="5"/>
  <c r="TN1" i="5"/>
  <c r="TZ1" i="5"/>
  <c r="UL1" i="5"/>
  <c r="UX1" i="5"/>
  <c r="VJ1" i="5"/>
  <c r="VV1" i="5"/>
  <c r="WH1" i="5"/>
  <c r="WT1" i="5"/>
  <c r="XF1" i="5"/>
  <c r="XR1" i="5"/>
  <c r="YD1" i="5"/>
  <c r="YP1" i="5"/>
  <c r="ZB1" i="5"/>
  <c r="ZN1" i="5"/>
  <c r="ZZ1" i="5"/>
  <c r="AAL1" i="5"/>
  <c r="AAX1" i="5"/>
  <c r="ABJ1" i="5"/>
  <c r="ABV1" i="5"/>
  <c r="ACH1" i="5"/>
  <c r="ACT1" i="5"/>
  <c r="ADF1" i="5"/>
  <c r="ADR1" i="5"/>
  <c r="AED1" i="5"/>
  <c r="AEP1" i="5"/>
  <c r="AFB1" i="5"/>
  <c r="AFN1" i="5"/>
  <c r="AFZ1" i="5"/>
  <c r="AGL1" i="5"/>
  <c r="AGX1" i="5"/>
  <c r="AHJ1" i="5"/>
  <c r="AHV1" i="5"/>
  <c r="AIH1" i="5"/>
  <c r="AIT1" i="5"/>
  <c r="AJF1" i="5"/>
  <c r="AJR1" i="5"/>
  <c r="AKD1" i="5"/>
  <c r="AKP1" i="5"/>
  <c r="ALB1" i="5"/>
  <c r="ALN1" i="5"/>
  <c r="ALZ1" i="5"/>
  <c r="AML1" i="5"/>
  <c r="AMX1" i="5"/>
  <c r="ANJ1" i="5"/>
  <c r="B2" i="4"/>
  <c r="BC1" i="5"/>
  <c r="BO1" i="5"/>
  <c r="CA1" i="5"/>
  <c r="CM1" i="5"/>
  <c r="CY1" i="5"/>
  <c r="DK1" i="5"/>
  <c r="DW1" i="5"/>
  <c r="EI1" i="5"/>
  <c r="EU1" i="5"/>
  <c r="FG1" i="5"/>
  <c r="FS1" i="5"/>
  <c r="GE1" i="5"/>
  <c r="GQ1" i="5"/>
  <c r="HC1" i="5"/>
  <c r="HO1" i="5"/>
  <c r="IA1" i="5"/>
  <c r="IM1" i="5"/>
  <c r="IY1" i="5"/>
  <c r="JK1" i="5"/>
  <c r="JW1" i="5"/>
  <c r="KI1" i="5"/>
  <c r="KU1" i="5"/>
  <c r="LG1" i="5"/>
  <c r="LS1" i="5"/>
  <c r="ME1" i="5"/>
  <c r="MQ1" i="5"/>
  <c r="NC1" i="5"/>
  <c r="NO1" i="5"/>
  <c r="OA1" i="5"/>
  <c r="OM1" i="5"/>
  <c r="OY1" i="5"/>
  <c r="PK1" i="5"/>
  <c r="PW1" i="5"/>
  <c r="QI1" i="5"/>
  <c r="QU1" i="5"/>
  <c r="RG1" i="5"/>
  <c r="RS1" i="5"/>
  <c r="SE1" i="5"/>
  <c r="SQ1" i="5"/>
  <c r="TC1" i="5"/>
  <c r="TO1" i="5"/>
  <c r="UA1" i="5"/>
  <c r="UM1" i="5"/>
  <c r="UY1" i="5"/>
  <c r="VK1" i="5"/>
  <c r="VW1" i="5"/>
  <c r="WI1" i="5"/>
  <c r="WU1" i="5"/>
  <c r="XG1" i="5"/>
  <c r="XS1" i="5"/>
  <c r="YE1" i="5"/>
  <c r="YQ1" i="5"/>
  <c r="ZC1" i="5"/>
  <c r="ZO1" i="5"/>
  <c r="AAA1" i="5"/>
  <c r="AAM1" i="5"/>
  <c r="AAY1" i="5"/>
  <c r="ABK1" i="5"/>
  <c r="ABW1" i="5"/>
  <c r="ACI1" i="5"/>
  <c r="ACU1" i="5"/>
  <c r="ADG1" i="5"/>
  <c r="ADS1" i="5"/>
  <c r="AEE1" i="5"/>
  <c r="AEQ1" i="5"/>
  <c r="AFC1" i="5"/>
  <c r="AFO1" i="5"/>
  <c r="AGA1" i="5"/>
  <c r="AGM1" i="5"/>
  <c r="AGY1" i="5"/>
  <c r="AHK1" i="5"/>
  <c r="AHW1" i="5"/>
  <c r="AII1" i="5"/>
  <c r="AIU1" i="5"/>
  <c r="AJG1" i="5"/>
  <c r="AJS1" i="5"/>
  <c r="AKE1" i="5"/>
  <c r="AKQ1" i="5"/>
  <c r="ALC1" i="5"/>
  <c r="ALO1" i="5"/>
  <c r="AMA1" i="5"/>
  <c r="AMM1" i="5"/>
  <c r="AMY1" i="5"/>
  <c r="ANK1" i="5"/>
  <c r="B33" i="4"/>
  <c r="B27" i="4"/>
  <c r="B21" i="4"/>
  <c r="B32" i="4"/>
  <c r="B26" i="4"/>
  <c r="B20" i="4"/>
  <c r="B31" i="4"/>
  <c r="B25" i="4"/>
  <c r="B19" i="4"/>
  <c r="B30" i="4"/>
  <c r="B24" i="4"/>
  <c r="B18" i="4"/>
  <c r="B35" i="4"/>
  <c r="B29" i="4"/>
  <c r="B23" i="4"/>
  <c r="B17" i="4"/>
  <c r="B34" i="4"/>
  <c r="B28" i="4"/>
  <c r="B22" i="4"/>
  <c r="B16" i="4"/>
  <c r="B3" i="4"/>
  <c r="B6" i="4"/>
  <c r="B5" i="4"/>
  <c r="B7" i="4"/>
  <c r="B11" i="4"/>
  <c r="B8" i="4"/>
  <c r="B13" i="4"/>
  <c r="B4" i="4"/>
  <c r="B14" i="4"/>
  <c r="B12" i="4"/>
  <c r="B10" i="4"/>
  <c r="B15" i="4"/>
  <c r="B9" i="4"/>
  <c r="B11" i="2" a="1"/>
  <c r="F2" i="2" l="1" a="1"/>
  <c r="F2" i="2" s="1"/>
  <c r="B1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<sst xmlns="http://schemas.openxmlformats.org/spreadsheetml/2006/main" count="3624" uniqueCount="1509">
  <si>
    <t>Compagnie</t>
  </si>
  <si>
    <t>Adresse</t>
  </si>
  <si>
    <t>Pays</t>
  </si>
  <si>
    <t>Lattitude</t>
  </si>
  <si>
    <t>Longitude</t>
  </si>
  <si>
    <t>Veolia</t>
  </si>
  <si>
    <t>France</t>
  </si>
  <si>
    <t>51490 Beine-Nauroy</t>
  </si>
  <si>
    <t>pt fixe</t>
  </si>
  <si>
    <t>Capucines</t>
  </si>
  <si>
    <t>Paix</t>
  </si>
  <si>
    <t>Champs</t>
  </si>
  <si>
    <t>Honoré</t>
  </si>
  <si>
    <t>Vendôme</t>
  </si>
  <si>
    <t>Lafayette</t>
  </si>
  <si>
    <t>François</t>
  </si>
  <si>
    <t>Samaritaine</t>
  </si>
  <si>
    <t>Bordeaux</t>
  </si>
  <si>
    <t>Cannes</t>
  </si>
  <si>
    <t>Nice</t>
  </si>
  <si>
    <t>Porte K</t>
  </si>
  <si>
    <t>Porte L</t>
  </si>
  <si>
    <t>Porte 1</t>
  </si>
  <si>
    <t xml:space="preserve"> </t>
  </si>
  <si>
    <t>Source Location</t>
  </si>
  <si>
    <t>Destination location</t>
  </si>
  <si>
    <t>Source coordinates</t>
  </si>
  <si>
    <t>Destination, coordinates</t>
  </si>
  <si>
    <t>Distance</t>
  </si>
  <si>
    <t>Key</t>
  </si>
  <si>
    <t>ROSHEIM 67560. France</t>
  </si>
  <si>
    <t>48.496421</t>
  </si>
  <si>
    <t>7.4698832</t>
  </si>
  <si>
    <t>1 Rue René Dumont. Vierzon 18100. France</t>
  </si>
  <si>
    <t>47.2069234</t>
  </si>
  <si>
    <t>2.0914316</t>
  </si>
  <si>
    <t>44 avenue Occitanie. SAINT MAUR 36250. France</t>
  </si>
  <si>
    <t>46.79062745</t>
  </si>
  <si>
    <t>1.65878754576196</t>
  </si>
  <si>
    <t>L'Aumône. MUR DE SOLOGNE 41230. France</t>
  </si>
  <si>
    <t>47.4276607</t>
  </si>
  <si>
    <t>1.5605367</t>
  </si>
  <si>
    <t>1 Rue du Boisillon. ZI des Châtelets. Ploufragan 22440. France</t>
  </si>
  <si>
    <t>48.4621726</t>
  </si>
  <si>
    <t>-2.7962147</t>
  </si>
  <si>
    <t>5. rue de la Motte. LUCE 28110. France</t>
  </si>
  <si>
    <t>48.4275697</t>
  </si>
  <si>
    <t>1.4541006</t>
  </si>
  <si>
    <t>Bourges 18000. France</t>
  </si>
  <si>
    <t>47.0811658</t>
  </si>
  <si>
    <t>2.399125</t>
  </si>
  <si>
    <t>12 rue du Rocher. Saint-Barthélemy-d'Anjou 49184. France</t>
  </si>
  <si>
    <t>47.4571987</t>
  </si>
  <si>
    <t>-0.4896589</t>
  </si>
  <si>
    <t>Chaingy 45380. France</t>
  </si>
  <si>
    <t>47.883725</t>
  </si>
  <si>
    <t>1.7723591</t>
  </si>
  <si>
    <t>20 rue Archimède. Hennebont 56700. France</t>
  </si>
  <si>
    <t>47.792441</t>
  </si>
  <si>
    <t>-3.260773</t>
  </si>
  <si>
    <t>16 rue Léon Berthault. Rennes 35039. France</t>
  </si>
  <si>
    <t>48.1096452</t>
  </si>
  <si>
    <t>-1.7306101</t>
  </si>
  <si>
    <t>17. boulevard de la Millière. Marseille 13011. France</t>
  </si>
  <si>
    <t>43.2831459</t>
  </si>
  <si>
    <t>5.5049245</t>
  </si>
  <si>
    <t>101 Avenue Ibrahim Ali. Marseille 13015. France</t>
  </si>
  <si>
    <t>43.345835</t>
  </si>
  <si>
    <t>5.3661535</t>
  </si>
  <si>
    <t>48. route de l'Ile Saint-Julien. Bonneuil-sur-Marne 94380. France</t>
  </si>
  <si>
    <t>48.7805221</t>
  </si>
  <si>
    <t>2.48352610459444</t>
  </si>
  <si>
    <t>ZI du Trousset. Saint-Jean de Braye 45800. France</t>
  </si>
  <si>
    <t>47.9201613</t>
  </si>
  <si>
    <t>1.9458339</t>
  </si>
  <si>
    <t>1 Cité Nouvelle. Trignac 44570. France</t>
  </si>
  <si>
    <t>47.3089354</t>
  </si>
  <si>
    <t>-2.1835433</t>
  </si>
  <si>
    <t>1 Rue Louis Blériot Bègles 33130. France</t>
  </si>
  <si>
    <t>44.8000048</t>
  </si>
  <si>
    <t>-0.5306251</t>
  </si>
  <si>
    <t>1 Rue Gustave Eiffel. Bergerac 24100. France</t>
  </si>
  <si>
    <t>44.8566123</t>
  </si>
  <si>
    <t>0.520461</t>
  </si>
  <si>
    <t>Brimont. Boé 47550. France</t>
  </si>
  <si>
    <t>44.1750267</t>
  </si>
  <si>
    <t>0.6613073</t>
  </si>
  <si>
    <t>Avenue du Mistral. La Ciotat 13600. France</t>
  </si>
  <si>
    <t>43.2118255</t>
  </si>
  <si>
    <t>5.5962106</t>
  </si>
  <si>
    <t>209. avenue de la Roudet. Libourne 33500. France</t>
  </si>
  <si>
    <t>44.9290563</t>
  </si>
  <si>
    <t>-0.2398762</t>
  </si>
  <si>
    <t>45. Avenue Frédéric et Irène Joliot Curie. Lons 64140. France</t>
  </si>
  <si>
    <t>43.3036187</t>
  </si>
  <si>
    <t>-0.4171811</t>
  </si>
  <si>
    <t>18 chemin Fenouillet. Toulouse 31200. France</t>
  </si>
  <si>
    <t>43.6379845</t>
  </si>
  <si>
    <t>1.4198711</t>
  </si>
  <si>
    <t>165 rue Alphonse Penaud. GUIPAVAS 29990. France</t>
  </si>
  <si>
    <t>48.4231534</t>
  </si>
  <si>
    <t>-4.4420356</t>
  </si>
  <si>
    <t>1 Rue du Fief. Amiens 80046. France</t>
  </si>
  <si>
    <t>49.9353552</t>
  </si>
  <si>
    <t>2.2753973</t>
  </si>
  <si>
    <t>Cité navale. Couëron 44220. France</t>
  </si>
  <si>
    <t>47.2098763</t>
  </si>
  <si>
    <t>-1.7028967</t>
  </si>
  <si>
    <t>1 Rue Benoit Perret. Albens 73410. France</t>
  </si>
  <si>
    <t>45.7870872</t>
  </si>
  <si>
    <t>5.9485341</t>
  </si>
  <si>
    <t>1 rue Benjamin Franklin. Gerzat 63360. France</t>
  </si>
  <si>
    <t>45.8108613</t>
  </si>
  <si>
    <t>3.1493182</t>
  </si>
  <si>
    <t>La Bargette. St Priest en Jarez 42270. France</t>
  </si>
  <si>
    <t>45.4732125</t>
  </si>
  <si>
    <t>4.3842432</t>
  </si>
  <si>
    <t>59 rue de l'Ile Gabourd. Voreppe 38340. France</t>
  </si>
  <si>
    <t>45.2899232</t>
  </si>
  <si>
    <t>5.6231404</t>
  </si>
  <si>
    <t>49.2492147</t>
  </si>
  <si>
    <t>4.2160991</t>
  </si>
  <si>
    <t>1 Rue des Frères Lumière. Zone Portuaire Nord. Chalon sur Saône 71100. France</t>
  </si>
  <si>
    <t>46.8022317</t>
  </si>
  <si>
    <t>4.8698761</t>
  </si>
  <si>
    <t>258 avenue René Jacot. Etupes 25460. France</t>
  </si>
  <si>
    <t>47.5108875</t>
  </si>
  <si>
    <t>6.8559895</t>
  </si>
  <si>
    <t>Impasse des Taupières. Nevers 58000. France</t>
  </si>
  <si>
    <t>46.9996629</t>
  </si>
  <si>
    <t>3.1859097</t>
  </si>
  <si>
    <t>48.8705348</t>
  </si>
  <si>
    <t>2.330630526</t>
  </si>
  <si>
    <t>48.86924016</t>
  </si>
  <si>
    <t>2.331032959</t>
  </si>
  <si>
    <t>48.87350105</t>
  </si>
  <si>
    <t>2.297572888</t>
  </si>
  <si>
    <t>48.86873091</t>
  </si>
  <si>
    <t>2.321609206</t>
  </si>
  <si>
    <t>48.86817121</t>
  </si>
  <si>
    <t>2.329661477</t>
  </si>
  <si>
    <t>48.87359513</t>
  </si>
  <si>
    <t>2.332136718</t>
  </si>
  <si>
    <t>48.86926809</t>
  </si>
  <si>
    <t>2.302489707</t>
  </si>
  <si>
    <t>48.85920986</t>
  </si>
  <si>
    <t>2.342323488</t>
  </si>
  <si>
    <t>44.84338091</t>
  </si>
  <si>
    <t>-0.578742818</t>
  </si>
  <si>
    <t>43.54968583</t>
  </si>
  <si>
    <t>7.026371389</t>
  </si>
  <si>
    <t>43.69723442</t>
  </si>
  <si>
    <t>7.269224447</t>
  </si>
  <si>
    <t>49.00211173</t>
  </si>
  <si>
    <t>2.580201085</t>
  </si>
  <si>
    <t>49.00243824</t>
  </si>
  <si>
    <t>2.577010609</t>
  </si>
  <si>
    <t>49.01594814</t>
  </si>
  <si>
    <t>2.544523612</t>
  </si>
  <si>
    <t>51.0829</t>
  </si>
  <si>
    <t>2.5176</t>
  </si>
  <si>
    <t>49.0389</t>
  </si>
  <si>
    <t>7.9473</t>
  </si>
  <si>
    <t>42.3858</t>
  </si>
  <si>
    <t>3.1582</t>
  </si>
  <si>
    <t>latlon</t>
  </si>
  <si>
    <t>13 rue de la paix, Paris</t>
  </si>
  <si>
    <t>Ajl3cQlRdvEuer5vei_e6r5xjum8gmm5ycsr6J43mJ5AEY6gUKZu9ejcjDtSBHMp</t>
  </si>
  <si>
    <t xml:space="preserve">Départ </t>
  </si>
  <si>
    <t>Adress</t>
  </si>
  <si>
    <t>LatLon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</si>
  <si>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</si>
  <si>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</si>
  <si>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</si>
  <si>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</si>
  <si>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</si>
  <si>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</si>
  <si>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</si>
  <si>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</si>
  <si>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</si>
  <si>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</si>
  <si>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</si>
  <si>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</si>
  <si>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</si>
  <si>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</si>
  <si>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</si>
  <si>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</si>
  <si>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</si>
  <si>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</si>
  <si>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</si>
  <si>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</si>
  <si>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</si>
  <si>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</si>
  <si>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</si>
  <si>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Germany</t>
  </si>
  <si>
    <t>Italy</t>
  </si>
  <si>
    <t>Netherlands</t>
  </si>
  <si>
    <t>Spain</t>
  </si>
  <si>
    <t>Switzerland</t>
  </si>
  <si>
    <t>UK</t>
  </si>
  <si>
    <t>Türkiye</t>
  </si>
  <si>
    <t>RLG Africa</t>
  </si>
  <si>
    <t>Berlin</t>
  </si>
  <si>
    <t>Munich</t>
  </si>
  <si>
    <t>48.13866666471618,11.581659176681455</t>
  </si>
  <si>
    <t>Düsseldorf</t>
  </si>
  <si>
    <t>51.22284455932012,6.779777176680138</t>
  </si>
  <si>
    <t>Hambourg</t>
  </si>
  <si>
    <t>53.55211789347753,9.991385576684179</t>
  </si>
  <si>
    <t>Francfort Aéroport</t>
  </si>
  <si>
    <t>Francfort</t>
  </si>
  <si>
    <t>Florence</t>
  </si>
  <si>
    <t>Milan</t>
  </si>
  <si>
    <t>Rome</t>
  </si>
  <si>
    <t>Venise</t>
  </si>
  <si>
    <t>Venise DFS</t>
  </si>
  <si>
    <t>Amsterdam Hooftstraat</t>
  </si>
  <si>
    <t>Amsterdam Dam 1</t>
  </si>
  <si>
    <t>52.501217924489936,13.31849825336416</t>
  </si>
  <si>
    <t>50.04773478567788,8.561991303183367</t>
  </si>
  <si>
    <t>50.11373034001789,8.674836641098711</t>
  </si>
  <si>
    <t>43.7716099473261,11.251947269315991</t>
  </si>
  <si>
    <t>45.469020658356236,9.194537384657997</t>
  </si>
  <si>
    <t>45.43331034110529,12.336212847238901</t>
  </si>
  <si>
    <t>45.43824900000002,12.336699647238909</t>
  </si>
  <si>
    <t>Palma</t>
  </si>
  <si>
    <t>Barcelone</t>
  </si>
  <si>
    <t>Madrid Canalejas</t>
  </si>
  <si>
    <t>Madrid Serrano</t>
  </si>
  <si>
    <t>39.56977213779867,2.650084455385122</t>
  </si>
  <si>
    <t>41.39442822723842,2.162665313493497</t>
  </si>
  <si>
    <t>40.416851215813125,-3.700552257671002</t>
  </si>
  <si>
    <t>40.430650800099855,-3.6866234730130047</t>
  </si>
  <si>
    <t>Basel</t>
  </si>
  <si>
    <t>Interlaken</t>
  </si>
  <si>
    <t>Lugano</t>
  </si>
  <si>
    <t>Zürich</t>
  </si>
  <si>
    <t>Genève</t>
  </si>
  <si>
    <t>Lucerne</t>
  </si>
  <si>
    <t>St Moritz</t>
  </si>
  <si>
    <t>47.55465995093444,7.591614717791126</t>
  </si>
  <si>
    <t>46.68561679999132,7.856434753373376</t>
  </si>
  <si>
    <t>46.003701900000024,8.950620317791124</t>
  </si>
  <si>
    <t>47.37210909890316,8.538125842329</t>
  </si>
  <si>
    <t>46.204011473270945,6.148809826986994</t>
  </si>
  <si>
    <t>47.05398803552368,8.309629028835499</t>
  </si>
  <si>
    <t>Sloane St</t>
  </si>
  <si>
    <t>New Bond St</t>
  </si>
  <si>
    <t>Old Bond St</t>
  </si>
  <si>
    <t>Harrods</t>
  </si>
  <si>
    <t>Heathrow T4</t>
  </si>
  <si>
    <t>Heathrow T3</t>
  </si>
  <si>
    <t>Heathrow T5</t>
  </si>
  <si>
    <t>Selfridges</t>
  </si>
  <si>
    <t>51.49300821870681,-0.15811358650650292</t>
  </si>
  <si>
    <t>51.50975774201505,-0.14182518465799615</t>
  </si>
  <si>
    <t>51.50851163880509,-0.14052892883550094</t>
  </si>
  <si>
    <t>51.49892463950734,-0.1635444288375983</t>
  </si>
  <si>
    <t>51.45934826648644,-0.4481693</t>
  </si>
  <si>
    <t>51.47025762482371,-0.45916572883550094</t>
  </si>
  <si>
    <t>51.470312724811635,-0.4879640865065029</t>
  </si>
  <si>
    <t>51.51460954523263,-0.1531411153420039</t>
  </si>
  <si>
    <t>Istanbul</t>
  </si>
  <si>
    <t>Istanbul Mall</t>
  </si>
  <si>
    <t>Istanbul Aéroport</t>
  </si>
  <si>
    <t>41.11033295820719,29.03327870674675</t>
  </si>
  <si>
    <t>41.002856342013864,29.070869771164503</t>
  </si>
  <si>
    <t>41.261907550139895,28.741199437331865</t>
  </si>
  <si>
    <t>Johannesburg</t>
  </si>
  <si>
    <t>-26.108741,28.052973</t>
  </si>
  <si>
    <t>48.8705348,2.330630526</t>
  </si>
  <si>
    <t>48.86924016,2.331032959</t>
  </si>
  <si>
    <t>48.87350105,2.297572888</t>
  </si>
  <si>
    <t>48.86873091,2.321609206</t>
  </si>
  <si>
    <t>48.86817121,2.329661477</t>
  </si>
  <si>
    <t>48.87359513,2.332136718</t>
  </si>
  <si>
    <t>48.86926809,2.302489707</t>
  </si>
  <si>
    <t>48.85920986,2.342323488</t>
  </si>
  <si>
    <t>44.84338091,-0.578742818</t>
  </si>
  <si>
    <t>43.54968583,7.026371389</t>
  </si>
  <si>
    <t>43.69723442,7.269224447</t>
  </si>
  <si>
    <t>49.00211173,2.580201085</t>
  </si>
  <si>
    <t>49.00243824,2.577010609</t>
  </si>
  <si>
    <t>49.01594814,2.544523612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</si>
  <si>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</si>
  <si>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</si>
  <si>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</si>
  <si>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</si>
  <si>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</si>
  <si>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</si>
  <si>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</si>
  <si>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</si>
  <si>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</si>
  <si>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</si>
  <si>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</si>
  <si>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</si>
  <si>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</si>
  <si>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</si>
  <si>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</si>
  <si>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</si>
  <si>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</si>
  <si>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</si>
  <si>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</si>
  <si>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</si>
  <si>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</si>
  <si>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</si>
  <si>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</si>
  <si>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43.7392036,7.42778462</t>
  </si>
  <si>
    <t>Monaco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</si>
  <si>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</si>
  <si>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</si>
  <si>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</si>
  <si>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</si>
  <si>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</si>
  <si>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</si>
  <si>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</si>
  <si>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</si>
  <si>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</si>
  <si>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</si>
  <si>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</si>
  <si>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</si>
  <si>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</si>
  <si>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</si>
  <si>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</si>
  <si>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</si>
  <si>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</si>
  <si>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</si>
  <si>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</si>
  <si>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</si>
  <si>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</si>
  <si>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</si>
  <si>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</si>
  <si>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</si>
  <si>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</si>
  <si>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</si>
  <si>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</si>
  <si>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</si>
  <si>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</si>
  <si>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</si>
  <si>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</si>
  <si>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</si>
  <si>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</si>
  <si>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</si>
  <si>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</si>
  <si>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</si>
  <si>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</si>
  <si>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</si>
  <si>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</si>
  <si>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</si>
  <si>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</si>
  <si>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</si>
  <si>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</si>
  <si>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</si>
  <si>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</si>
  <si>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</si>
  <si>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</si>
  <si>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</si>
  <si>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</si>
  <si>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</si>
  <si>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</si>
  <si>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</si>
  <si>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</si>
  <si>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</si>
  <si>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</si>
  <si>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</si>
  <si>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</si>
  <si>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</si>
  <si>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</si>
  <si>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</si>
  <si>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</si>
  <si>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</si>
  <si>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</si>
  <si>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</si>
  <si>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</si>
  <si>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</si>
  <si>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</si>
  <si>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</si>
  <si>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</si>
  <si>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</si>
  <si>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</si>
  <si>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</si>
  <si>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</si>
  <si>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</si>
  <si>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</si>
  <si>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</si>
  <si>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</si>
  <si>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</si>
  <si>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</si>
  <si>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</si>
  <si>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</si>
  <si>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</si>
  <si>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</si>
  <si>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</si>
  <si>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</si>
  <si>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</si>
  <si>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</si>
  <si>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</si>
  <si>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</si>
  <si>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</si>
  <si>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</si>
  <si>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</si>
  <si>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</si>
  <si>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</si>
  <si>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</si>
  <si>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</si>
  <si>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</si>
  <si>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</si>
  <si>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</si>
  <si>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</si>
  <si>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</si>
  <si>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</si>
  <si>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</si>
  <si>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</si>
  <si>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</si>
  <si>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</si>
  <si>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</si>
  <si>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</si>
  <si>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</si>
  <si>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</si>
  <si>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</si>
  <si>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</si>
  <si>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</si>
  <si>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</si>
  <si>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</si>
  <si>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</si>
  <si>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</si>
  <si>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</si>
  <si>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</si>
  <si>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</si>
  <si>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</si>
  <si>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</si>
  <si>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</si>
  <si>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</si>
  <si>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</si>
  <si>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</si>
  <si>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</si>
  <si>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</si>
  <si>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</si>
  <si>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</si>
  <si>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</si>
  <si>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</si>
  <si>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</si>
  <si>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</si>
  <si>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</si>
  <si>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</si>
  <si>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</si>
  <si>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</si>
  <si>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</si>
  <si>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</si>
  <si>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</si>
  <si>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</si>
  <si>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</si>
  <si>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</si>
  <si>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</si>
  <si>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</si>
  <si>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</si>
  <si>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</si>
  <si>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</si>
  <si>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</si>
  <si>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</si>
  <si>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</si>
  <si>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</si>
  <si>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</si>
  <si>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</si>
  <si>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</si>
  <si>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</si>
  <si>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</si>
  <si>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</si>
  <si>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</si>
  <si>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</si>
  <si>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</si>
  <si>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</si>
  <si>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</si>
  <si>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</si>
  <si>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</si>
  <si>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</si>
  <si>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</si>
  <si>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</si>
  <si>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</si>
  <si>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</si>
  <si>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</si>
  <si>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</si>
  <si>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</si>
  <si>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</si>
  <si>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</si>
  <si>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</si>
  <si>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</si>
  <si>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</si>
  <si>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</si>
  <si>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</si>
  <si>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</si>
  <si>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</si>
  <si>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</si>
  <si>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</si>
  <si>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</si>
  <si>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</si>
  <si>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</si>
  <si>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</si>
  <si>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</si>
  <si>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</si>
  <si>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</si>
  <si>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</si>
  <si>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</si>
  <si>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</si>
  <si>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</si>
  <si>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</si>
  <si>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</si>
  <si>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</si>
  <si>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</si>
  <si>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</si>
  <si>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</si>
  <si>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</si>
  <si>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</si>
  <si>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</si>
  <si>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</si>
  <si>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</si>
  <si>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</si>
  <si>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</si>
  <si>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</si>
  <si>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IW</t>
  </si>
  <si>
    <t>IX</t>
  </si>
  <si>
    <t>IY</t>
  </si>
  <si>
    <t>IZ</t>
  </si>
  <si>
    <t>JA</t>
  </si>
  <si>
    <t>JB</t>
  </si>
  <si>
    <t>JC</t>
  </si>
  <si>
    <t>JD</t>
  </si>
  <si>
    <t>JE</t>
  </si>
  <si>
    <t>JF</t>
  </si>
  <si>
    <t>JG</t>
  </si>
  <si>
    <t>JH</t>
  </si>
  <si>
    <t>JI</t>
  </si>
  <si>
    <t>JJ</t>
  </si>
  <si>
    <t>JK</t>
  </si>
  <si>
    <t>JL</t>
  </si>
  <si>
    <t>JM</t>
  </si>
  <si>
    <t>JN</t>
  </si>
  <si>
    <t>JO</t>
  </si>
  <si>
    <t>JP</t>
  </si>
  <si>
    <t>JQ</t>
  </si>
  <si>
    <t>JR</t>
  </si>
  <si>
    <t>JS</t>
  </si>
  <si>
    <t>JT</t>
  </si>
  <si>
    <t>JU</t>
  </si>
  <si>
    <t>JV</t>
  </si>
  <si>
    <t>JW</t>
  </si>
  <si>
    <t>JX</t>
  </si>
  <si>
    <t>JY</t>
  </si>
  <si>
    <t>JZ</t>
  </si>
  <si>
    <t>KA</t>
  </si>
  <si>
    <t>KB</t>
  </si>
  <si>
    <t>KC</t>
  </si>
  <si>
    <t>KD</t>
  </si>
  <si>
    <t>KE</t>
  </si>
  <si>
    <t>KF</t>
  </si>
  <si>
    <t>KG</t>
  </si>
  <si>
    <t>KH</t>
  </si>
  <si>
    <t>KI</t>
  </si>
  <si>
    <t>KJ</t>
  </si>
  <si>
    <t>KK</t>
  </si>
  <si>
    <t>KL</t>
  </si>
  <si>
    <t>KM</t>
  </si>
  <si>
    <t>KN</t>
  </si>
  <si>
    <t>KO</t>
  </si>
  <si>
    <t>KP</t>
  </si>
  <si>
    <t>KQ</t>
  </si>
  <si>
    <t>KR</t>
  </si>
  <si>
    <t>KS</t>
  </si>
  <si>
    <t>KT</t>
  </si>
  <si>
    <t>KU</t>
  </si>
  <si>
    <t>KV</t>
  </si>
  <si>
    <t>KW</t>
  </si>
  <si>
    <t>KX</t>
  </si>
  <si>
    <t>KY</t>
  </si>
  <si>
    <t>KZ</t>
  </si>
  <si>
    <t>LA</t>
  </si>
  <si>
    <t>LB</t>
  </si>
  <si>
    <t>LC</t>
  </si>
  <si>
    <t>LD</t>
  </si>
  <si>
    <t>LE</t>
  </si>
  <si>
    <t>LF</t>
  </si>
  <si>
    <t>LG</t>
  </si>
  <si>
    <t>LH</t>
  </si>
  <si>
    <t>LI</t>
  </si>
  <si>
    <t>LJ</t>
  </si>
  <si>
    <t>LK</t>
  </si>
  <si>
    <t>LL</t>
  </si>
  <si>
    <t>LM</t>
  </si>
  <si>
    <t>LN</t>
  </si>
  <si>
    <t>LO</t>
  </si>
  <si>
    <t>LP</t>
  </si>
  <si>
    <t>LQ</t>
  </si>
  <si>
    <t>LR</t>
  </si>
  <si>
    <t>LS</t>
  </si>
  <si>
    <t>LT</t>
  </si>
  <si>
    <t>LU</t>
  </si>
  <si>
    <t>LV</t>
  </si>
  <si>
    <t>LW</t>
  </si>
  <si>
    <t>LX</t>
  </si>
  <si>
    <t>LY</t>
  </si>
  <si>
    <t>LZ</t>
  </si>
  <si>
    <t>MA</t>
  </si>
  <si>
    <t>MB</t>
  </si>
  <si>
    <t>MC</t>
  </si>
  <si>
    <t>MD</t>
  </si>
  <si>
    <t>ME</t>
  </si>
  <si>
    <t>MF</t>
  </si>
  <si>
    <t>MG</t>
  </si>
  <si>
    <t>MH</t>
  </si>
  <si>
    <t>MI</t>
  </si>
  <si>
    <t>MJ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</si>
  <si>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</si>
  <si>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</si>
  <si>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</si>
  <si>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</si>
  <si>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</si>
  <si>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</si>
  <si>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</si>
  <si>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</si>
  <si>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</si>
  <si>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</si>
  <si>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</si>
  <si>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</si>
  <si>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</si>
  <si>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</si>
  <si>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</si>
  <si>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</si>
  <si>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</si>
  <si>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</si>
  <si>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</si>
  <si>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</si>
  <si>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</si>
  <si>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</si>
  <si>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</si>
  <si>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</si>
  <si>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</si>
  <si>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</si>
  <si>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NK</t>
  </si>
  <si>
    <t>NL</t>
  </si>
  <si>
    <t>NM</t>
  </si>
  <si>
    <t>NN</t>
  </si>
  <si>
    <t>NO</t>
  </si>
  <si>
    <t>NP</t>
  </si>
  <si>
    <t>NQ</t>
  </si>
  <si>
    <t>NR</t>
  </si>
  <si>
    <t>NS</t>
  </si>
  <si>
    <t>NT</t>
  </si>
  <si>
    <t>NU</t>
  </si>
  <si>
    <t>NV</t>
  </si>
  <si>
    <t>NW</t>
  </si>
  <si>
    <t>NX</t>
  </si>
  <si>
    <t>NY</t>
  </si>
  <si>
    <t>NZ</t>
  </si>
  <si>
    <t>OA</t>
  </si>
  <si>
    <t>OB</t>
  </si>
  <si>
    <t>OC</t>
  </si>
  <si>
    <t>OD</t>
  </si>
  <si>
    <t>OE</t>
  </si>
  <si>
    <t>OF</t>
  </si>
  <si>
    <t>OG</t>
  </si>
  <si>
    <t>OH</t>
  </si>
  <si>
    <t>OI</t>
  </si>
  <si>
    <t>OJ</t>
  </si>
  <si>
    <t>OK</t>
  </si>
  <si>
    <t>OL</t>
  </si>
  <si>
    <t>OM</t>
  </si>
  <si>
    <t>ON</t>
  </si>
  <si>
    <t>OO</t>
  </si>
  <si>
    <t>OP</t>
  </si>
  <si>
    <t>OQ</t>
  </si>
  <si>
    <t>OR</t>
  </si>
  <si>
    <t>OS</t>
  </si>
  <si>
    <t>OT</t>
  </si>
  <si>
    <t>OU</t>
  </si>
  <si>
    <t>OV</t>
  </si>
  <si>
    <t>OW</t>
  </si>
  <si>
    <t>OX</t>
  </si>
  <si>
    <t>OY</t>
  </si>
  <si>
    <t>OZ</t>
  </si>
  <si>
    <t>PA</t>
  </si>
  <si>
    <t>PB</t>
  </si>
  <si>
    <t>PC</t>
  </si>
  <si>
    <t>PD</t>
  </si>
  <si>
    <t>PE</t>
  </si>
  <si>
    <t>PF</t>
  </si>
  <si>
    <t>PG</t>
  </si>
  <si>
    <t>PH</t>
  </si>
  <si>
    <t>PI</t>
  </si>
  <si>
    <t>PJ</t>
  </si>
  <si>
    <t>PK</t>
  </si>
  <si>
    <t>PL</t>
  </si>
  <si>
    <t>PM</t>
  </si>
  <si>
    <t>PN</t>
  </si>
  <si>
    <t>PO</t>
  </si>
  <si>
    <t>PP</t>
  </si>
  <si>
    <t>PQ</t>
  </si>
  <si>
    <t>PR</t>
  </si>
  <si>
    <t>PS</t>
  </si>
  <si>
    <t>PT</t>
  </si>
  <si>
    <t>PU</t>
  </si>
  <si>
    <t>PV</t>
  </si>
  <si>
    <t>PW</t>
  </si>
  <si>
    <t>PX</t>
  </si>
  <si>
    <t>PY</t>
  </si>
  <si>
    <t>PZ</t>
  </si>
  <si>
    <t>QA</t>
  </si>
  <si>
    <t>QB</t>
  </si>
  <si>
    <t>QC</t>
  </si>
  <si>
    <t>QD</t>
  </si>
  <si>
    <t>QE</t>
  </si>
  <si>
    <t>QF</t>
  </si>
  <si>
    <t>QG</t>
  </si>
  <si>
    <t>QH</t>
  </si>
  <si>
    <t>QI</t>
  </si>
  <si>
    <t>QJ</t>
  </si>
  <si>
    <t>QK</t>
  </si>
  <si>
    <t>QL</t>
  </si>
  <si>
    <t>QM</t>
  </si>
  <si>
    <t>QN</t>
  </si>
  <si>
    <t>QO</t>
  </si>
  <si>
    <t>QP</t>
  </si>
  <si>
    <t>QQ</t>
  </si>
  <si>
    <t>QR</t>
  </si>
  <si>
    <t>QS</t>
  </si>
  <si>
    <t>QT</t>
  </si>
  <si>
    <t>QU</t>
  </si>
  <si>
    <t>QV</t>
  </si>
  <si>
    <t>QW</t>
  </si>
  <si>
    <t>QX</t>
  </si>
  <si>
    <t>QY</t>
  </si>
  <si>
    <t>QZ</t>
  </si>
  <si>
    <t>RA</t>
  </si>
  <si>
    <t>RB</t>
  </si>
  <si>
    <t>RC</t>
  </si>
  <si>
    <t>RD</t>
  </si>
  <si>
    <t>RE</t>
  </si>
  <si>
    <t>RF</t>
  </si>
  <si>
    <t>RG</t>
  </si>
  <si>
    <t>RH</t>
  </si>
  <si>
    <t>RI</t>
  </si>
  <si>
    <t>RJ</t>
  </si>
  <si>
    <t>RK</t>
  </si>
  <si>
    <t>RL</t>
  </si>
  <si>
    <t>RM</t>
  </si>
  <si>
    <t>RN</t>
  </si>
  <si>
    <t>RO</t>
  </si>
  <si>
    <t>RP</t>
  </si>
  <si>
    <t>RQ</t>
  </si>
  <si>
    <t>RR</t>
  </si>
  <si>
    <t>RS</t>
  </si>
  <si>
    <t>RT</t>
  </si>
  <si>
    <t>RU</t>
  </si>
  <si>
    <t>RV</t>
  </si>
  <si>
    <t>RW</t>
  </si>
  <si>
    <t>RX</t>
  </si>
  <si>
    <t>RY</t>
  </si>
  <si>
    <t>RZ</t>
  </si>
  <si>
    <t>SA</t>
  </si>
  <si>
    <t>SB</t>
  </si>
  <si>
    <t>SC</t>
  </si>
  <si>
    <t>SD</t>
  </si>
  <si>
    <t>SE</t>
  </si>
  <si>
    <t>SF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</si>
  <si>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</si>
  <si>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</si>
  <si>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</si>
  <si>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</si>
  <si>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</si>
  <si>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</si>
  <si>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</si>
  <si>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</si>
  <si>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</si>
  <si>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SP</t>
  </si>
  <si>
    <t>SQ</t>
  </si>
  <si>
    <t>SR</t>
  </si>
  <si>
    <t>SS</t>
  </si>
  <si>
    <t>ST</t>
  </si>
  <si>
    <t>SU</t>
  </si>
  <si>
    <t>SV</t>
  </si>
  <si>
    <t>SW</t>
  </si>
  <si>
    <t>SX</t>
  </si>
  <si>
    <t>SY</t>
  </si>
  <si>
    <t>SZ</t>
  </si>
  <si>
    <t>TA</t>
  </si>
  <si>
    <t>TB</t>
  </si>
  <si>
    <t>TC</t>
  </si>
  <si>
    <t>TD</t>
  </si>
  <si>
    <t>TE</t>
  </si>
  <si>
    <t>TF</t>
  </si>
  <si>
    <t>TG</t>
  </si>
  <si>
    <t>TH</t>
  </si>
  <si>
    <t>TI</t>
  </si>
  <si>
    <t>TJ</t>
  </si>
  <si>
    <t>TK</t>
  </si>
  <si>
    <t>TL</t>
  </si>
  <si>
    <t>TM</t>
  </si>
  <si>
    <t>TN</t>
  </si>
  <si>
    <t>TO</t>
  </si>
  <si>
    <t>TP</t>
  </si>
  <si>
    <t>TQ</t>
  </si>
  <si>
    <t>TR</t>
  </si>
  <si>
    <t>TS</t>
  </si>
  <si>
    <t>TT</t>
  </si>
  <si>
    <t>TU</t>
  </si>
  <si>
    <t>TV</t>
  </si>
  <si>
    <t>TW</t>
  </si>
  <si>
    <t>TX</t>
  </si>
  <si>
    <t>TY</t>
  </si>
  <si>
    <t>TZ</t>
  </si>
  <si>
    <t>UA</t>
  </si>
  <si>
    <t>UB</t>
  </si>
  <si>
    <t>UC</t>
  </si>
  <si>
    <t>UD</t>
  </si>
  <si>
    <t>UE</t>
  </si>
  <si>
    <t>UF</t>
  </si>
  <si>
    <t>UG</t>
  </si>
  <si>
    <t>UH</t>
  </si>
  <si>
    <t>UI</t>
  </si>
  <si>
    <t>UJ</t>
  </si>
  <si>
    <t>UL</t>
  </si>
  <si>
    <t>UM</t>
  </si>
  <si>
    <t>UN</t>
  </si>
  <si>
    <t>UO</t>
  </si>
  <si>
    <t>UP</t>
  </si>
  <si>
    <t>UQ</t>
  </si>
  <si>
    <t>UR</t>
  </si>
  <si>
    <t>US</t>
  </si>
  <si>
    <t>UT</t>
  </si>
  <si>
    <t>UU</t>
  </si>
  <si>
    <t>UV</t>
  </si>
  <si>
    <t>UW</t>
  </si>
  <si>
    <t>UX</t>
  </si>
  <si>
    <t>UY</t>
  </si>
  <si>
    <t>UZ</t>
  </si>
  <si>
    <t>VA</t>
  </si>
  <si>
    <t>VB</t>
  </si>
  <si>
    <t>VC</t>
  </si>
  <si>
    <t>VD</t>
  </si>
  <si>
    <t>VE</t>
  </si>
  <si>
    <t>VF</t>
  </si>
  <si>
    <t>VG</t>
  </si>
  <si>
    <t>VH</t>
  </si>
  <si>
    <t>VI</t>
  </si>
  <si>
    <t>VJ</t>
  </si>
  <si>
    <t>VK</t>
  </si>
  <si>
    <t>VL</t>
  </si>
  <si>
    <t>VM</t>
  </si>
  <si>
    <t>VN</t>
  </si>
  <si>
    <t>VO</t>
  </si>
  <si>
    <t>VP</t>
  </si>
  <si>
    <t>VQ</t>
  </si>
  <si>
    <t>VR</t>
  </si>
  <si>
    <t>VS</t>
  </si>
  <si>
    <t>VT</t>
  </si>
  <si>
    <t>VU</t>
  </si>
  <si>
    <t>VV</t>
  </si>
  <si>
    <t>VW</t>
  </si>
  <si>
    <t>VX</t>
  </si>
  <si>
    <t>VY</t>
  </si>
  <si>
    <t>VZ</t>
  </si>
  <si>
    <t>WA</t>
  </si>
  <si>
    <t>WB</t>
  </si>
  <si>
    <t>WC</t>
  </si>
  <si>
    <t>WD</t>
  </si>
  <si>
    <t>WE</t>
  </si>
  <si>
    <t>WF</t>
  </si>
  <si>
    <t>WG</t>
  </si>
  <si>
    <t>WH</t>
  </si>
  <si>
    <t>WI</t>
  </si>
  <si>
    <t>WJ</t>
  </si>
  <si>
    <t>WK</t>
  </si>
  <si>
    <t>WL</t>
  </si>
  <si>
    <t>WM</t>
  </si>
  <si>
    <t>WN</t>
  </si>
  <si>
    <t>WO</t>
  </si>
  <si>
    <t>WP</t>
  </si>
  <si>
    <t>WQ</t>
  </si>
  <si>
    <t>WR</t>
  </si>
  <si>
    <t>WS</t>
  </si>
  <si>
    <t>WT</t>
  </si>
  <si>
    <t>WU</t>
  </si>
  <si>
    <t>WV</t>
  </si>
  <si>
    <t>WW</t>
  </si>
  <si>
    <t>WX</t>
  </si>
  <si>
    <t>WY</t>
  </si>
  <si>
    <t>WZ</t>
  </si>
  <si>
    <t>XA</t>
  </si>
  <si>
    <t>XB</t>
  </si>
  <si>
    <t>XC</t>
  </si>
  <si>
    <t>XD</t>
  </si>
  <si>
    <t>XE</t>
  </si>
  <si>
    <t>XF</t>
  </si>
  <si>
    <t>XG</t>
  </si>
  <si>
    <t>XH</t>
  </si>
  <si>
    <t>XI</t>
  </si>
  <si>
    <t>XJ</t>
  </si>
  <si>
    <t>XK</t>
  </si>
  <si>
    <t>XL</t>
  </si>
  <si>
    <t>XM</t>
  </si>
  <si>
    <t>XN</t>
  </si>
  <si>
    <t>XO</t>
  </si>
  <si>
    <t>XP</t>
  </si>
  <si>
    <t>XQ</t>
  </si>
  <si>
    <t>XR</t>
  </si>
  <si>
    <t>XS</t>
  </si>
  <si>
    <t>XT</t>
  </si>
  <si>
    <t>XU</t>
  </si>
  <si>
    <t>XV</t>
  </si>
  <si>
    <t>XW</t>
  </si>
  <si>
    <t>XX</t>
  </si>
  <si>
    <t>XY</t>
  </si>
  <si>
    <t>XZ</t>
  </si>
  <si>
    <t>YA</t>
  </si>
  <si>
    <t>YB</t>
  </si>
  <si>
    <t>YC</t>
  </si>
  <si>
    <t>YD</t>
  </si>
  <si>
    <t>YE</t>
  </si>
  <si>
    <t>YF</t>
  </si>
  <si>
    <t>YG</t>
  </si>
  <si>
    <t>YH</t>
  </si>
  <si>
    <t>YI</t>
  </si>
  <si>
    <t>YJ</t>
  </si>
  <si>
    <t>YK</t>
  </si>
  <si>
    <t>YL</t>
  </si>
  <si>
    <t>YM</t>
  </si>
  <si>
    <t>YN</t>
  </si>
  <si>
    <t>YO</t>
  </si>
  <si>
    <t>YP</t>
  </si>
  <si>
    <t>YQ</t>
  </si>
  <si>
    <t>YR</t>
  </si>
  <si>
    <t>YS</t>
  </si>
  <si>
    <t>YT</t>
  </si>
  <si>
    <t>YU</t>
  </si>
  <si>
    <t>YV</t>
  </si>
  <si>
    <t>YW</t>
  </si>
  <si>
    <t>YX</t>
  </si>
  <si>
    <t>YY</t>
  </si>
  <si>
    <t>YZ</t>
  </si>
  <si>
    <t>ZA</t>
  </si>
  <si>
    <t>ZB</t>
  </si>
  <si>
    <t>ZC</t>
  </si>
  <si>
    <t>ZD</t>
  </si>
  <si>
    <t>ZE</t>
  </si>
  <si>
    <t>ZF</t>
  </si>
  <si>
    <t>ZG</t>
  </si>
  <si>
    <t>ZH</t>
  </si>
  <si>
    <t>ZI</t>
  </si>
  <si>
    <t>ZJ</t>
  </si>
  <si>
    <t>ZK</t>
  </si>
  <si>
    <t>ZL</t>
  </si>
  <si>
    <t>ZM</t>
  </si>
  <si>
    <t>ZN</t>
  </si>
  <si>
    <t>ZO</t>
  </si>
  <si>
    <t>ZP</t>
  </si>
  <si>
    <t>ZQ</t>
  </si>
  <si>
    <t>ZR</t>
  </si>
  <si>
    <t>ZS</t>
  </si>
  <si>
    <t>ZT</t>
  </si>
  <si>
    <t>ZU</t>
  </si>
  <si>
    <t>ZV</t>
  </si>
  <si>
    <t>ZW</t>
  </si>
  <si>
    <t>ZX</t>
  </si>
  <si>
    <t>ZY</t>
  </si>
  <si>
    <t>ZZ</t>
  </si>
  <si>
    <t>AAA</t>
  </si>
  <si>
    <t>AAB</t>
  </si>
  <si>
    <t>AAC</t>
  </si>
  <si>
    <t>AAD</t>
  </si>
  <si>
    <t>AAE</t>
  </si>
  <si>
    <t>AAF</t>
  </si>
  <si>
    <t>AAG</t>
  </si>
  <si>
    <t>AAH</t>
  </si>
  <si>
    <t>AAI</t>
  </si>
  <si>
    <t>AAJ</t>
  </si>
  <si>
    <t>AAK</t>
  </si>
  <si>
    <t>AAL</t>
  </si>
  <si>
    <t>AAM</t>
  </si>
  <si>
    <t>AAN</t>
  </si>
  <si>
    <t>AAO</t>
  </si>
  <si>
    <t>AAP</t>
  </si>
  <si>
    <t>AAQ</t>
  </si>
  <si>
    <t>AAR</t>
  </si>
  <si>
    <t>AAS</t>
  </si>
  <si>
    <t>AAT</t>
  </si>
  <si>
    <t>AAU</t>
  </si>
  <si>
    <t>AAV</t>
  </si>
  <si>
    <t>AAW</t>
  </si>
  <si>
    <t>AAX</t>
  </si>
  <si>
    <t>AAY</t>
  </si>
  <si>
    <t>AAZ</t>
  </si>
  <si>
    <t>ABA</t>
  </si>
  <si>
    <t>ABB</t>
  </si>
  <si>
    <t>ABC</t>
  </si>
  <si>
    <t>ABD</t>
  </si>
  <si>
    <t>ABE</t>
  </si>
  <si>
    <t>ABF</t>
  </si>
  <si>
    <t>ABG</t>
  </si>
  <si>
    <t>ABH</t>
  </si>
  <si>
    <t>ABI</t>
  </si>
  <si>
    <t>ABJ</t>
  </si>
  <si>
    <t>ABK</t>
  </si>
  <si>
    <t>ABL</t>
  </si>
  <si>
    <t>ABM</t>
  </si>
  <si>
    <t>ABN</t>
  </si>
  <si>
    <t>ABO</t>
  </si>
  <si>
    <t>ABP</t>
  </si>
  <si>
    <t>ABQ</t>
  </si>
  <si>
    <t>ABR</t>
  </si>
  <si>
    <t>ABS</t>
  </si>
  <si>
    <t>ABT</t>
  </si>
  <si>
    <t>ABU</t>
  </si>
  <si>
    <t>ABV</t>
  </si>
  <si>
    <t>ABW</t>
  </si>
  <si>
    <t>ABX</t>
  </si>
  <si>
    <t>ABY</t>
  </si>
  <si>
    <t>ABZ</t>
  </si>
  <si>
    <t>ACA</t>
  </si>
  <si>
    <t>ACB</t>
  </si>
  <si>
    <t>ACC</t>
  </si>
  <si>
    <t>ACD</t>
  </si>
  <si>
    <t>ACE</t>
  </si>
  <si>
    <t>ACF</t>
  </si>
  <si>
    <t>ACG</t>
  </si>
  <si>
    <t>ACH</t>
  </si>
  <si>
    <t>ACI</t>
  </si>
  <si>
    <t>ACJ</t>
  </si>
  <si>
    <t>ACK</t>
  </si>
  <si>
    <t>ACL</t>
  </si>
  <si>
    <t>ACM</t>
  </si>
  <si>
    <t>ACN</t>
  </si>
  <si>
    <t>ACO</t>
  </si>
  <si>
    <t>ACP</t>
  </si>
  <si>
    <t>ACQ</t>
  </si>
  <si>
    <t>ACR</t>
  </si>
  <si>
    <t>ACS</t>
  </si>
  <si>
    <t>ACT</t>
  </si>
  <si>
    <t>ACU</t>
  </si>
  <si>
    <t>ACV</t>
  </si>
  <si>
    <t>ACW</t>
  </si>
  <si>
    <t>ACX</t>
  </si>
  <si>
    <t>ACY</t>
  </si>
  <si>
    <t>ACZ</t>
  </si>
  <si>
    <t>ADA</t>
  </si>
  <si>
    <t>ADB</t>
  </si>
  <si>
    <t>ADC</t>
  </si>
  <si>
    <t>ADD</t>
  </si>
  <si>
    <t>ADE</t>
  </si>
  <si>
    <t>ADF</t>
  </si>
  <si>
    <t>ADG</t>
  </si>
  <si>
    <t>ADH</t>
  </si>
  <si>
    <t>ADI</t>
  </si>
  <si>
    <t>ADJ</t>
  </si>
  <si>
    <t>ADK</t>
  </si>
  <si>
    <t>ADL</t>
  </si>
  <si>
    <t>ADM</t>
  </si>
  <si>
    <t>ADN</t>
  </si>
  <si>
    <t>ADO</t>
  </si>
  <si>
    <t>ADP</t>
  </si>
  <si>
    <t>ADQ</t>
  </si>
  <si>
    <t>ADR</t>
  </si>
  <si>
    <t>ADS</t>
  </si>
  <si>
    <t>ADT</t>
  </si>
  <si>
    <t>ADU</t>
  </si>
  <si>
    <t>ADV</t>
  </si>
  <si>
    <t>ADW</t>
  </si>
  <si>
    <t>ADX</t>
  </si>
  <si>
    <t>ADY</t>
  </si>
  <si>
    <t>ADZ</t>
  </si>
  <si>
    <t>AEA</t>
  </si>
  <si>
    <t>AEB</t>
  </si>
  <si>
    <t>AEC</t>
  </si>
  <si>
    <t>AED</t>
  </si>
  <si>
    <t>AEE</t>
  </si>
  <si>
    <t>AEF</t>
  </si>
  <si>
    <t>AEG</t>
  </si>
  <si>
    <t>AEH</t>
  </si>
  <si>
    <t>AEI</t>
  </si>
  <si>
    <t>AEJ</t>
  </si>
  <si>
    <t>AEK</t>
  </si>
  <si>
    <t>AEL</t>
  </si>
  <si>
    <t>AEM</t>
  </si>
  <si>
    <t>AEN</t>
  </si>
  <si>
    <t>AEO</t>
  </si>
  <si>
    <t>AEP</t>
  </si>
  <si>
    <t>AEQ</t>
  </si>
  <si>
    <t>AER</t>
  </si>
  <si>
    <t>AES</t>
  </si>
  <si>
    <t>AET</t>
  </si>
  <si>
    <t>AEU</t>
  </si>
  <si>
    <t>AEV</t>
  </si>
  <si>
    <t>AEW</t>
  </si>
  <si>
    <t>AEX</t>
  </si>
  <si>
    <t>AEY</t>
  </si>
  <si>
    <t>AEZ</t>
  </si>
  <si>
    <t>AFA</t>
  </si>
  <si>
    <t>AFB</t>
  </si>
  <si>
    <t>AFC</t>
  </si>
  <si>
    <t>AFD</t>
  </si>
  <si>
    <t>AFE</t>
  </si>
  <si>
    <t>AFF</t>
  </si>
  <si>
    <t>AFG</t>
  </si>
  <si>
    <t>AFH</t>
  </si>
  <si>
    <t>AFI</t>
  </si>
  <si>
    <t>AFJ</t>
  </si>
  <si>
    <t>AFK</t>
  </si>
  <si>
    <t>AFL</t>
  </si>
  <si>
    <t>AFM</t>
  </si>
  <si>
    <t>AFN</t>
  </si>
  <si>
    <t>AFO</t>
  </si>
  <si>
    <t>AFP</t>
  </si>
  <si>
    <t>AFQ</t>
  </si>
  <si>
    <t>AFR</t>
  </si>
  <si>
    <t>AFS</t>
  </si>
  <si>
    <t>AFT</t>
  </si>
  <si>
    <t>AFU</t>
  </si>
  <si>
    <t>AFV</t>
  </si>
  <si>
    <t>AFW</t>
  </si>
  <si>
    <t>AFX</t>
  </si>
  <si>
    <t>AFY</t>
  </si>
  <si>
    <t>AFZ</t>
  </si>
  <si>
    <t>AGA</t>
  </si>
  <si>
    <t>AGB</t>
  </si>
  <si>
    <t>AGC</t>
  </si>
  <si>
    <t>AGD</t>
  </si>
  <si>
    <t>AGE</t>
  </si>
  <si>
    <t>AGF</t>
  </si>
  <si>
    <t>AGG</t>
  </si>
  <si>
    <t>AGH</t>
  </si>
  <si>
    <t>AGI</t>
  </si>
  <si>
    <t>AGJ</t>
  </si>
  <si>
    <t>AGK</t>
  </si>
  <si>
    <t>AGL</t>
  </si>
  <si>
    <t>AGM</t>
  </si>
  <si>
    <t>AGN</t>
  </si>
  <si>
    <t>AGO</t>
  </si>
  <si>
    <t>AGP</t>
  </si>
  <si>
    <t>AGQ</t>
  </si>
  <si>
    <t>AGR</t>
  </si>
  <si>
    <t>AGS</t>
  </si>
  <si>
    <t>AGT</t>
  </si>
  <si>
    <t>AGU</t>
  </si>
  <si>
    <t>AGV</t>
  </si>
  <si>
    <t>AGW</t>
  </si>
  <si>
    <t>AGX</t>
  </si>
  <si>
    <t>AGY</t>
  </si>
  <si>
    <t>AGZ</t>
  </si>
  <si>
    <t>AHA</t>
  </si>
  <si>
    <t>AHB</t>
  </si>
  <si>
    <t>AHC</t>
  </si>
  <si>
    <t>AHD</t>
  </si>
  <si>
    <t>AHE</t>
  </si>
  <si>
    <t>AHF</t>
  </si>
  <si>
    <t>AHG</t>
  </si>
  <si>
    <t>AHH</t>
  </si>
  <si>
    <t>AHI</t>
  </si>
  <si>
    <t>AHJ</t>
  </si>
  <si>
    <t>AHK</t>
  </si>
  <si>
    <t>AHL</t>
  </si>
  <si>
    <t>AHM</t>
  </si>
  <si>
    <t>AHN</t>
  </si>
  <si>
    <t>AHO</t>
  </si>
  <si>
    <t>AHP</t>
  </si>
  <si>
    <t>AHQ</t>
  </si>
  <si>
    <t>AHR</t>
  </si>
  <si>
    <t>AHS</t>
  </si>
  <si>
    <t>AHT</t>
  </si>
  <si>
    <t>AHU</t>
  </si>
  <si>
    <t>AHV</t>
  </si>
  <si>
    <t>AHW</t>
  </si>
  <si>
    <t>AHX</t>
  </si>
  <si>
    <t>AHY</t>
  </si>
  <si>
    <t>AHZ</t>
  </si>
  <si>
    <t>AIA</t>
  </si>
  <si>
    <t>AIB</t>
  </si>
  <si>
    <t>AIC</t>
  </si>
  <si>
    <t>AID</t>
  </si>
  <si>
    <t>AIE</t>
  </si>
  <si>
    <t>AIF</t>
  </si>
  <si>
    <t>AIG</t>
  </si>
  <si>
    <t>AIH</t>
  </si>
  <si>
    <t>AII</t>
  </si>
  <si>
    <t>AIJ</t>
  </si>
  <si>
    <t>AIK</t>
  </si>
  <si>
    <t>AIL</t>
  </si>
  <si>
    <t>AIM</t>
  </si>
  <si>
    <t>AIN</t>
  </si>
  <si>
    <t>AIO</t>
  </si>
  <si>
    <t>AIP</t>
  </si>
  <si>
    <t>AIQ</t>
  </si>
  <si>
    <t>AIR</t>
  </si>
  <si>
    <t>AIS</t>
  </si>
  <si>
    <t>AIT</t>
  </si>
  <si>
    <t>AIU</t>
  </si>
  <si>
    <t>AIV</t>
  </si>
  <si>
    <t>AIW</t>
  </si>
  <si>
    <t>AIX</t>
  </si>
  <si>
    <t>AIY</t>
  </si>
  <si>
    <t>AIZ</t>
  </si>
  <si>
    <t>AJA</t>
  </si>
  <si>
    <t>AJB</t>
  </si>
  <si>
    <t>AJC</t>
  </si>
  <si>
    <t>AJD</t>
  </si>
  <si>
    <t>AJE</t>
  </si>
  <si>
    <t>AJF</t>
  </si>
  <si>
    <t>AJG</t>
  </si>
  <si>
    <t>AJH</t>
  </si>
  <si>
    <t>AJI</t>
  </si>
  <si>
    <t>AJJ</t>
  </si>
  <si>
    <t>AJK</t>
  </si>
  <si>
    <t>AJL</t>
  </si>
  <si>
    <t>AJM</t>
  </si>
  <si>
    <t>AJN</t>
  </si>
  <si>
    <t>AJO</t>
  </si>
  <si>
    <t>AJP</t>
  </si>
  <si>
    <t>AJQ</t>
  </si>
  <si>
    <t>AJR</t>
  </si>
  <si>
    <t>AJS</t>
  </si>
  <si>
    <t>AJT</t>
  </si>
  <si>
    <t>AJU</t>
  </si>
  <si>
    <t>AJV</t>
  </si>
  <si>
    <t>AJW</t>
  </si>
  <si>
    <t>AJX</t>
  </si>
  <si>
    <t>AJY</t>
  </si>
  <si>
    <t>AJZ</t>
  </si>
  <si>
    <t>AKA</t>
  </si>
  <si>
    <t>AKB</t>
  </si>
  <si>
    <t>AKC</t>
  </si>
  <si>
    <t>AKD</t>
  </si>
  <si>
    <t>AKE</t>
  </si>
  <si>
    <t>AKF</t>
  </si>
  <si>
    <t>AKG</t>
  </si>
  <si>
    <t>AKH</t>
  </si>
  <si>
    <t>AKI</t>
  </si>
  <si>
    <t>AKJ</t>
  </si>
  <si>
    <t>AKK</t>
  </si>
  <si>
    <t>AKL</t>
  </si>
  <si>
    <t>AKM</t>
  </si>
  <si>
    <t>AKN</t>
  </si>
  <si>
    <t>AKO</t>
  </si>
  <si>
    <t>AKP</t>
  </si>
  <si>
    <t>AKQ</t>
  </si>
  <si>
    <t>AKR</t>
  </si>
  <si>
    <t>AKS</t>
  </si>
  <si>
    <t>AKT</t>
  </si>
  <si>
    <t>AKU</t>
  </si>
  <si>
    <t>AKV</t>
  </si>
  <si>
    <t>AKW</t>
  </si>
  <si>
    <t>AKX</t>
  </si>
  <si>
    <t>AKY</t>
  </si>
  <si>
    <t>AKZ</t>
  </si>
  <si>
    <t>ALA</t>
  </si>
  <si>
    <t>ALB</t>
  </si>
  <si>
    <t>ALC</t>
  </si>
  <si>
    <t>ALD</t>
  </si>
  <si>
    <t>ALE</t>
  </si>
  <si>
    <t>ALF</t>
  </si>
  <si>
    <t>ALG</t>
  </si>
  <si>
    <t>ALH</t>
  </si>
  <si>
    <t>ALI</t>
  </si>
  <si>
    <t>ALJ</t>
  </si>
  <si>
    <t>ALK</t>
  </si>
  <si>
    <t>ALL</t>
  </si>
  <si>
    <t>ALM</t>
  </si>
  <si>
    <t>ALN</t>
  </si>
  <si>
    <t>ALO</t>
  </si>
  <si>
    <t>ALP</t>
  </si>
  <si>
    <t>ALQ</t>
  </si>
  <si>
    <t>ALR</t>
  </si>
  <si>
    <t>ALS</t>
  </si>
  <si>
    <t>ALT</t>
  </si>
  <si>
    <t>ALU</t>
  </si>
  <si>
    <t>ALV</t>
  </si>
  <si>
    <t>ALW</t>
  </si>
  <si>
    <t>ALX</t>
  </si>
  <si>
    <t>ALY</t>
  </si>
  <si>
    <t>ALZ</t>
  </si>
  <si>
    <t>AMA</t>
  </si>
  <si>
    <t>AMB</t>
  </si>
  <si>
    <t>AMC</t>
  </si>
  <si>
    <t>AMD</t>
  </si>
  <si>
    <t>AME</t>
  </si>
  <si>
    <t>AMF</t>
  </si>
  <si>
    <t>AMG</t>
  </si>
  <si>
    <t>AMH</t>
  </si>
  <si>
    <t>AMI</t>
  </si>
  <si>
    <t>AMJ</t>
  </si>
  <si>
    <t>AMK</t>
  </si>
  <si>
    <t>AML</t>
  </si>
  <si>
    <t>AMM</t>
  </si>
  <si>
    <t>AMN</t>
  </si>
  <si>
    <t>AMO</t>
  </si>
  <si>
    <t>AMP</t>
  </si>
  <si>
    <t>AMQ</t>
  </si>
  <si>
    <t>AMR</t>
  </si>
  <si>
    <t>AMS</t>
  </si>
  <si>
    <t>AMT</t>
  </si>
  <si>
    <t>AMU</t>
  </si>
  <si>
    <t>AMV</t>
  </si>
  <si>
    <t>AMW</t>
  </si>
  <si>
    <t>AMX</t>
  </si>
  <si>
    <t>AMY</t>
  </si>
  <si>
    <t>AMZ</t>
  </si>
  <si>
    <t>ANA</t>
  </si>
  <si>
    <t>ANB</t>
  </si>
  <si>
    <t>ANC</t>
  </si>
  <si>
    <t>AND</t>
  </si>
  <si>
    <t>ANE</t>
  </si>
  <si>
    <t>ANF</t>
  </si>
  <si>
    <t>ANG</t>
  </si>
  <si>
    <t>ANH</t>
  </si>
  <si>
    <t>ANI</t>
  </si>
  <si>
    <t>ANJ</t>
  </si>
  <si>
    <t>ANK</t>
  </si>
  <si>
    <t>ANL</t>
  </si>
  <si>
    <t>ANM</t>
  </si>
  <si>
    <t>ANN</t>
  </si>
  <si>
    <t>ANO</t>
  </si>
  <si>
    <t>ANP</t>
  </si>
  <si>
    <t>ANQ</t>
  </si>
  <si>
    <t>ANR</t>
  </si>
  <si>
    <t>ANS</t>
  </si>
  <si>
    <t>ANT</t>
  </si>
  <si>
    <t>ANU</t>
  </si>
  <si>
    <t>Paseo de la Castellana, 216, 28046 Madrid, Spain</t>
  </si>
  <si>
    <t>Carrer de Balmes, 114, 08008 Barcelona, Spain</t>
  </si>
  <si>
    <t>Avenida del Camino de lo Cortao, 34, 28703 San Sebastián de los Reyes, Madrid, Spain</t>
  </si>
  <si>
    <t>Polígono Industrial Riu Clar, Carrer del Plom, 8, 43006 Tarragona, Espagne.</t>
  </si>
  <si>
    <t>Calle de Torrelaguna, 77, 28027 Madrid, Espagne.</t>
  </si>
  <si>
    <t>Polígono Guadalhorce, Calle Concepción Arenal, 25, 29004 Málaga, Espagne.</t>
  </si>
  <si>
    <t>Polígono Industrial Cogullada, Calle D, 20, 50014 Zaragoza, Espagne.</t>
  </si>
  <si>
    <t>Polígono Industrial Etxerre, Calle Araba, 5, 48970 Basauri, Bizkaia, Espagne.</t>
  </si>
  <si>
    <t>Polígono Industrial Vara de Quart, Carrer del Forn de l’Hospital, 15, 46014 Valencia, Espagne.</t>
  </si>
  <si>
    <t>Ctra. Laureà Miró, 412, 08980 Sant Feliu de Llobregat, Barcelona, Espagne.</t>
  </si>
  <si>
    <t>VEOLIA</t>
  </si>
  <si>
    <t>Veolia Umweltservice Berlin GmbH &amp; Co. KG</t>
  </si>
  <si>
    <t>Gradestraße 91, 12347 Berlin</t>
  </si>
  <si>
    <t>Veolia Umweltservice Nord GmbH</t>
  </si>
  <si>
    <t>Lademannbogen 130, 22339 Hamburg</t>
  </si>
  <si>
    <t>Veolia Umweltservice Süd GmbH</t>
  </si>
  <si>
    <t>Lindberghstraße 13, 80939 München</t>
  </si>
  <si>
    <t>Veolia Umweltservice West GmbH</t>
  </si>
  <si>
    <t>Berner Straße 77, 60437 Frankfurt am Main</t>
  </si>
  <si>
    <t>Dieselstraße 26, 70771 Leinfelden-Echterdingen</t>
  </si>
  <si>
    <t>Veolia Umweltservice Rheinland GmbH</t>
  </si>
  <si>
    <t>Am Trippelsberg 41, 40589 Düsseldorf</t>
  </si>
  <si>
    <t>Mathias-Brüggen-Straße 132, 50829 Köln</t>
  </si>
  <si>
    <t>Klönnestraße 89, 44143 Dortmund</t>
  </si>
  <si>
    <t>Via San Gregorio 55, 20124 Milan, Italy</t>
  </si>
  <si>
    <t>Turin</t>
  </si>
  <si>
    <t>Naples</t>
  </si>
  <si>
    <t>Via Giuseppe Meda, 35, 00157 Rome, Italy</t>
  </si>
  <si>
    <t>Corso Ferrucci, 112, 10138 Turin, Italy</t>
  </si>
  <si>
    <t>Via Chiatamone, 60, 80121 Naples, Italy</t>
  </si>
  <si>
    <t>Siram Veolia Florence Servizi Ambientali Srl</t>
  </si>
  <si>
    <t>Via Francesco Baracca 9/11, 50127 Florence, Italy</t>
  </si>
  <si>
    <t>Siram Veolia Venezia Servizi Ambientali Srl</t>
  </si>
  <si>
    <t>Via delle Industrie 19, 30175 Marghera, Venice, Italy</t>
  </si>
  <si>
    <t>Veolia Nederland B.V. - Industrial Cleaning and Waste Services</t>
  </si>
  <si>
    <t>Veluwezoom 35, 1327 AE Almere, Netherlands</t>
  </si>
  <si>
    <t>Veolia Polymers NL B.V.</t>
  </si>
  <si>
    <t>Ir. Smedingstraat 26, 1507 VW Zaandam, Netherlands</t>
  </si>
  <si>
    <t>Veolia Es Industrial Services Nederland B.V.</t>
  </si>
  <si>
    <t>Oude Maasweg 30, 3197 KJ Rotterdam-Botlek, Netherlands</t>
  </si>
  <si>
    <t>Veolia Recycling Solutions NL B.V.</t>
  </si>
  <si>
    <t>Accustraat 7, 3903 LX Veenendaal, Netherlands</t>
  </si>
  <si>
    <t>Rijnlanderweg 916, 2153 KE Nieuw-Vennep, Pays-Bas</t>
  </si>
  <si>
    <t>Veolia Umweltservice AG</t>
  </si>
  <si>
    <t>Hagenholzstrasse 110, 8050 Zurich</t>
  </si>
  <si>
    <t>Route de Bois-de-Bay 15, 1242 Satigny</t>
  </si>
  <si>
    <t>Hegenheimermattweg 119, 4123 Allschwil</t>
  </si>
  <si>
    <t>Veolia Umweltservice Schweiz AG</t>
  </si>
  <si>
    <t>Industriestrasse 15, 6010 Kriens</t>
  </si>
  <si>
    <t>Veolia Services Suisse SA</t>
  </si>
  <si>
    <t>Via Industria 10, 6814 Cadempino</t>
  </si>
  <si>
    <t>Industriestrasse 5, 3000 Bern, Switzerland</t>
  </si>
  <si>
    <t>Veolia South Downs Recycling Site</t>
  </si>
  <si>
    <t>Off St Philips Avenue, BN22 8NB</t>
  </si>
  <si>
    <t>Off Station Road, Hailsham, BN27 2BY</t>
  </si>
  <si>
    <t>Freshfields, Hastings, TN38 8AY</t>
  </si>
  <si>
    <t>James Bridge, Darlaston, Wednesbury, WS10 9PD, UK</t>
  </si>
  <si>
    <t>43 Devon Street, SE15 1AL, London</t>
  </si>
  <si>
    <t>Veolia Türkiye</t>
  </si>
  <si>
    <t>Dudullu OSB, DES Sanayi Sitesi, 2. Cadde No: 4, Ümraniye, Istanbul, Turkey</t>
  </si>
  <si>
    <t>Oğuzlar Mahallesi, Ceyhun Atıf Kansu Caddesi, 1456. Sokak No:2/12 Balgat, Çankaya, Ankara, Turkey</t>
  </si>
  <si>
    <t>Atatürk Organize Sanayi Bölgesi 10035 Sokak No: 5, Çiğli, Izmir, Turkey</t>
  </si>
  <si>
    <t>KwaZulu-Natal, South Africa.</t>
  </si>
  <si>
    <t>Dolphin Coast Landfill Management (DCLM)</t>
  </si>
  <si>
    <t>45.4812721,9.2007137</t>
  </si>
  <si>
    <t>Angers</t>
  </si>
  <si>
    <t>Via dei Condotti, 83, 00187 Roma RM, Italie</t>
  </si>
  <si>
    <t>Pieter Cornelisz Hooftstraat 129, 1071 BS Amsterdam, Pays-Bas</t>
  </si>
  <si>
    <t>Dam 1, 1012 JS Amsterdam, Pays-Bas</t>
  </si>
  <si>
    <t>40.4668698,-3.688579</t>
  </si>
  <si>
    <t>41.3927813,2.1582073</t>
  </si>
  <si>
    <t>40.5548335,-3.6106255</t>
  </si>
  <si>
    <t>41.1319232,1.2173234</t>
  </si>
  <si>
    <t>40.446846,-3.65652</t>
  </si>
  <si>
    <t>36.6933078,-4.4787407</t>
  </si>
  <si>
    <t>41.67466,-0.949869</t>
  </si>
  <si>
    <t>43.23717499,-2.88720536</t>
  </si>
  <si>
    <t>39.4754803,-0.3909538</t>
  </si>
  <si>
    <t>41.3925612,2.0361786</t>
  </si>
  <si>
    <t>Carrer de Joan de Saridakis, 2, 07015 Palma, Illes Balears, Spain</t>
  </si>
  <si>
    <t>39.5521571,2.6124608</t>
  </si>
  <si>
    <t>12 Alice Ln, Sandhurst, Sandton, 2146, Afrique du Sud</t>
  </si>
  <si>
    <t>Palace Galerie, Via Serlas 29, 7500 St. Moritz, Suisse</t>
  </si>
  <si>
    <t>46.4972251,9.8400212</t>
  </si>
  <si>
    <t>Industriestrasse 23, 3422 Kirchberg, Switzerland</t>
  </si>
  <si>
    <t>&lt; 1,5 t diesel</t>
  </si>
  <si>
    <t>MPLW</t>
  </si>
  <si>
    <t>Emissions</t>
  </si>
  <si>
    <t>&lt; 1,5 t gasoline</t>
  </si>
  <si>
    <t>1,5 to 2,5 t gasoline</t>
  </si>
  <si>
    <t>1,5 to 2,5 t diesel</t>
  </si>
  <si>
    <t>2,51 to 3,5 t gasoline</t>
  </si>
  <si>
    <t>2,51 to 3,5 t diesel</t>
  </si>
  <si>
    <t>Istinyepark AVM, Pinar mah. Katar cad. No:11</t>
  </si>
  <si>
    <t>Emaar Square AVM, Ünalan Mah. Libadiye Caddesi No:88</t>
  </si>
  <si>
    <t>Istanbul Airport International Departures</t>
  </si>
  <si>
    <t>143-144 Sloane Street</t>
  </si>
  <si>
    <t>175-177 New Bond Street</t>
  </si>
  <si>
    <t>40-41 Old Bond Street</t>
  </si>
  <si>
    <t xml:space="preserve">Freie Strasse 101, 4051 Basel </t>
  </si>
  <si>
    <t xml:space="preserve">Rue du Rhône 35, 1204 Genève GE </t>
  </si>
  <si>
    <t xml:space="preserve">Höheweg 56, 3800 Interlaken BE </t>
  </si>
  <si>
    <t xml:space="preserve">Schweizerhofquai 2, 6004 Lucerne </t>
  </si>
  <si>
    <t xml:space="preserve">Piazzetta Maraini 1, 6900 Lugano </t>
  </si>
  <si>
    <t xml:space="preserve">Bahnhofstrasse 47, 8001 Zürich </t>
  </si>
  <si>
    <t xml:space="preserve">Plaça de Cort, 12, 07001 Palma de Mallorca, Balearic Islands </t>
  </si>
  <si>
    <t xml:space="preserve">Paseo de Gracia, 82, 08008 Barcelona, Cataluña </t>
  </si>
  <si>
    <t>Madrid C/ Serrano, 74</t>
  </si>
  <si>
    <t>Madrid Galeria Canalejas</t>
  </si>
  <si>
    <t>Pieter Cornelisz Hooftstraat 129, 1071 BS Amsterdam</t>
  </si>
  <si>
    <t xml:space="preserve">Via degli Strozzi 36/r, 50123 Firenze FI </t>
  </si>
  <si>
    <t xml:space="preserve">Via Montenapoleone 16/A, 20121 Milano MI </t>
  </si>
  <si>
    <t>Calle San Moisè, 1474/1475 Venice</t>
  </si>
  <si>
    <t>Calle del Fontego dei Tedeschi by DFS, Venice</t>
  </si>
  <si>
    <t xml:space="preserve">44, Cours Georges Clemenceau, 33000 Bordeaux </t>
  </si>
  <si>
    <t xml:space="preserve">57 La Croisette, 06400 Cannes </t>
  </si>
  <si>
    <t xml:space="preserve">4 avenue de Verdun, 06000 Nice </t>
  </si>
  <si>
    <t>12 boulevard des Capucines, Paris</t>
  </si>
  <si>
    <t>13 rue de la Paix,Paris</t>
  </si>
  <si>
    <t>154 avenue des Champs Elysées, Paris</t>
  </si>
  <si>
    <t>17 rue du Faubourg Saint-Honoré,Paris</t>
  </si>
  <si>
    <t>23 place Vendôme, Paris</t>
  </si>
  <si>
    <t>40 boulevard Haussmann, Paris</t>
  </si>
  <si>
    <t>51 rue François 1er, Paris</t>
  </si>
  <si>
    <t>9 rue de la Monnaie, Paris</t>
  </si>
  <si>
    <t>Charles-de-Gaulle, Porte K Terminal 2E</t>
  </si>
  <si>
    <t>Charles-de-Gaulle, Porte L Terminal 2E</t>
  </si>
  <si>
    <t>Charles-de-Gaulle, Terminal 1</t>
  </si>
  <si>
    <t xml:space="preserve">Kurfürstendamm 195, 10707 Berlin </t>
  </si>
  <si>
    <t xml:space="preserve">Königsallee, Steinstraße 1-3, 40212 Düsseldorf </t>
  </si>
  <si>
    <t xml:space="preserve">Goethestraße 11, 60313 Frankfurt </t>
  </si>
  <si>
    <t xml:space="preserve">Neuer Wall 22, 20354 Hamburg </t>
  </si>
  <si>
    <t xml:space="preserve">Maximilianstraße 20, 80539 München </t>
  </si>
  <si>
    <t>Paprec Deutschland GmbH</t>
  </si>
  <si>
    <t>Neudecker Weg 11, 12277 Berlin, Germany</t>
  </si>
  <si>
    <t>Paprec Süd GmbH</t>
  </si>
  <si>
    <t>Albin-Köbis-Straße 2, 51147 Köln, Germany</t>
  </si>
  <si>
    <t>Paprec Düsseldorf GmbH</t>
  </si>
  <si>
    <t>Mercedesstraße 31, 40470 Düsseldorf, Germany</t>
  </si>
  <si>
    <t>Paprec Nord GmbH</t>
  </si>
  <si>
    <t>Oehleckerring 7, 22419 Hamburg</t>
  </si>
  <si>
    <t>Paprec Hessen GmbH</t>
  </si>
  <si>
    <t>Boschstraße 12, 63110 Rodgau</t>
  </si>
  <si>
    <t>Paprec Trappes</t>
  </si>
  <si>
    <t>Paprec Bordeaux</t>
  </si>
  <si>
    <t>Paprec PACA</t>
  </si>
  <si>
    <t>ZI Auguste I Chemin du Grand Pas, 33610</t>
  </si>
  <si>
    <t>Cannes la Bocca, ZI des Tourrades Roind-Poinit des Tourrades, 06150</t>
  </si>
  <si>
    <t>Wissous, Voies des Jumeaux, 91320</t>
  </si>
  <si>
    <t>48.73855195,2.33732725</t>
  </si>
  <si>
    <t>48.4965477,7.47151136</t>
  </si>
  <si>
    <t>47.20677633,2.09185674</t>
  </si>
  <si>
    <t>46.790448,1.659128</t>
  </si>
  <si>
    <t>47.42440545,1.56190228</t>
  </si>
  <si>
    <t>48.462487,-2.79772285</t>
  </si>
  <si>
    <t>48.426807,1.4550068</t>
  </si>
  <si>
    <t>47.08262253,2.39758945</t>
  </si>
  <si>
    <t>47.4571923,-0.4897532</t>
  </si>
  <si>
    <t>47.88376236,1.77226174</t>
  </si>
  <si>
    <t>47.7924983,-3.2608006</t>
  </si>
  <si>
    <t>48.1096308,-1.7307103</t>
  </si>
  <si>
    <t>43.2843259,5.4919834</t>
  </si>
  <si>
    <t>43.34134796,5.36519012</t>
  </si>
  <si>
    <t>48.7803347,2.4853644</t>
  </si>
  <si>
    <t>47.92065376,1.94594148</t>
  </si>
  <si>
    <t>47.307917,-2.184104</t>
  </si>
  <si>
    <t>44.79375315,-0.528639</t>
  </si>
  <si>
    <t>44.8553124,0.5205022</t>
  </si>
  <si>
    <t>44.17353792,0.66504939</t>
  </si>
  <si>
    <t>43.21031262,5.59769526</t>
  </si>
  <si>
    <t>44.94351,-0.23809</t>
  </si>
  <si>
    <t>43.3091434,-0.4285509</t>
  </si>
  <si>
    <t>43.6380172,1.4199162</t>
  </si>
  <si>
    <t>48.42402,-4.4396867</t>
  </si>
  <si>
    <t>49.93540895,2.2756999</t>
  </si>
  <si>
    <t>47.20872384,-1.70845162</t>
  </si>
  <si>
    <t>45.78963045,5.94888878</t>
  </si>
  <si>
    <t>45.81122,3.1507292</t>
  </si>
  <si>
    <t>45.4732606,4.3853728</t>
  </si>
  <si>
    <t>45.289564,5.623439</t>
  </si>
  <si>
    <t>49.24980545,4.21617508</t>
  </si>
  <si>
    <t>46.78438568,4.85289383</t>
  </si>
  <si>
    <t>47.5108765,6.8555502</t>
  </si>
  <si>
    <t>46.99939474,3.18623102</t>
  </si>
  <si>
    <t>44.76565303,-0.71774254</t>
  </si>
  <si>
    <t>43.55681688,6.9527651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</si>
</sst>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9.6"/>
      <color rgb="FF0D0D0D"/>
      <name val="Segoe U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2" borderId="3" xfId="0" applyFill="1" applyBorder="1"/>
    <xf numFmtId="0" fontId="0" fillId="0" borderId="3" xfId="0" applyBorder="1"/>
    <xf numFmtId="0" fontId="4" fillId="0" borderId="4" xfId="0" applyFont="1" applyBorder="1" applyAlignment="1">
      <alignment horizontal="center" vertical="top"/>
    </xf>
    <xf numFmtId="0" fontId="0" fillId="2" borderId="2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" xfId="0" applyFill="1" applyBorder="1"/>
    <xf numFmtId="0" fontId="5" fillId="0" borderId="0" xfId="1"/>
    <xf numFmtId="0" fontId="0" fillId="3" borderId="0" xfId="0" applyFill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3" borderId="8" xfId="0" applyFill="1" applyBorder="1"/>
    <xf numFmtId="0" fontId="0" fillId="3" borderId="9" xfId="0" applyFill="1" applyBorder="1"/>
    <xf numFmtId="0" fontId="0" fillId="3" borderId="12" xfId="0" applyFill="1" applyBorder="1"/>
    <xf numFmtId="0" fontId="3" fillId="3" borderId="13" xfId="0" applyFont="1" applyFill="1" applyBorder="1"/>
    <xf numFmtId="0" fontId="3" fillId="3" borderId="0" xfId="0" applyFont="1" applyFill="1"/>
    <xf numFmtId="0" fontId="0" fillId="3" borderId="14" xfId="0" applyFill="1" applyBorder="1"/>
    <xf numFmtId="0" fontId="0" fillId="3" borderId="17" xfId="0" applyFill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3" borderId="13" xfId="0" applyFill="1" applyBorder="1"/>
    <xf numFmtId="0" fontId="0" fillId="3" borderId="15" xfId="0" applyFill="1" applyBorder="1"/>
    <xf numFmtId="0" fontId="0" fillId="3" borderId="16" xfId="0" applyFill="1" applyBorder="1"/>
    <xf numFmtId="0" fontId="6" fillId="4" borderId="21" xfId="0" applyFont="1" applyFill="1" applyBorder="1" applyAlignment="1">
      <alignment horizontal="center" wrapText="1"/>
    </xf>
    <xf numFmtId="0" fontId="6" fillId="4" borderId="22" xfId="0" applyFont="1" applyFill="1" applyBorder="1" applyAlignment="1">
      <alignment vertical="center" wrapText="1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/>
    <xf numFmtId="0" fontId="7" fillId="0" borderId="13" xfId="0" applyFont="1" applyBorder="1"/>
    <xf numFmtId="0" fontId="0" fillId="0" borderId="0" xfId="0" applyBorder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Veolia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Sheet1!$E$2:$E$38</c:f>
              <c:strCache>
                <c:ptCount val="37"/>
                <c:pt idx="3">
                  <c:v>7.4698832</c:v>
                </c:pt>
                <c:pt idx="4">
                  <c:v>2.0914316</c:v>
                </c:pt>
                <c:pt idx="5">
                  <c:v>1.65878754576196</c:v>
                </c:pt>
                <c:pt idx="6">
                  <c:v>1.5605367</c:v>
                </c:pt>
                <c:pt idx="7">
                  <c:v>-2.7962147</c:v>
                </c:pt>
                <c:pt idx="8">
                  <c:v>1.4541006</c:v>
                </c:pt>
                <c:pt idx="9">
                  <c:v>2.399125</c:v>
                </c:pt>
                <c:pt idx="10">
                  <c:v>-0.4896589</c:v>
                </c:pt>
                <c:pt idx="11">
                  <c:v>1.7723591</c:v>
                </c:pt>
                <c:pt idx="12">
                  <c:v>-3.260773</c:v>
                </c:pt>
                <c:pt idx="13">
                  <c:v>-1.7306101</c:v>
                </c:pt>
                <c:pt idx="14">
                  <c:v>5.5049245</c:v>
                </c:pt>
                <c:pt idx="15">
                  <c:v>5.3661535</c:v>
                </c:pt>
                <c:pt idx="16">
                  <c:v>2.48352610459444</c:v>
                </c:pt>
                <c:pt idx="17">
                  <c:v>1.9458339</c:v>
                </c:pt>
                <c:pt idx="18">
                  <c:v>-2.1835433</c:v>
                </c:pt>
                <c:pt idx="19">
                  <c:v>-0.5306251</c:v>
                </c:pt>
                <c:pt idx="20">
                  <c:v>0.520461</c:v>
                </c:pt>
                <c:pt idx="21">
                  <c:v>0.6613073</c:v>
                </c:pt>
                <c:pt idx="22">
                  <c:v>5.5962106</c:v>
                </c:pt>
                <c:pt idx="23">
                  <c:v>-0.2398762</c:v>
                </c:pt>
                <c:pt idx="24">
                  <c:v>-0.4171811</c:v>
                </c:pt>
                <c:pt idx="25">
                  <c:v>1.4198711</c:v>
                </c:pt>
                <c:pt idx="26">
                  <c:v>-4.4420356</c:v>
                </c:pt>
                <c:pt idx="27">
                  <c:v>2.2753973</c:v>
                </c:pt>
                <c:pt idx="28">
                  <c:v>-1.7028967</c:v>
                </c:pt>
                <c:pt idx="29">
                  <c:v>5.9485341</c:v>
                </c:pt>
                <c:pt idx="30">
                  <c:v>3.1493182</c:v>
                </c:pt>
                <c:pt idx="31">
                  <c:v>4.3842432</c:v>
                </c:pt>
                <c:pt idx="32">
                  <c:v>5.6231404</c:v>
                </c:pt>
                <c:pt idx="33">
                  <c:v>4.2160991</c:v>
                </c:pt>
                <c:pt idx="34">
                  <c:v>4.8698761</c:v>
                </c:pt>
                <c:pt idx="35">
                  <c:v>6.8559895</c:v>
                </c:pt>
                <c:pt idx="36">
                  <c:v>3.1859097</c:v>
                </c:pt>
              </c:strCache>
            </c:strRef>
          </c:xVal>
          <c:yVal>
            <c:numRef>
              <c:f>Sheet1!$D$2:$D$38</c:f>
              <c:numCache>
                <c:formatCode>General</c:formatCode>
                <c:ptCount val="3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7-4288-94A2-1C64BE76A0C5}"/>
            </c:ext>
          </c:extLst>
        </c:ser>
        <c:ser>
          <c:idx val="2"/>
          <c:order val="2"/>
          <c:tx>
            <c:v>Cartier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Sheet1!$D$41:$D$54</c:f>
              <c:strCache>
                <c:ptCount val="14"/>
                <c:pt idx="0">
                  <c:v>2.330630526</c:v>
                </c:pt>
                <c:pt idx="1">
                  <c:v>2.331032959</c:v>
                </c:pt>
                <c:pt idx="2">
                  <c:v>2.297572888</c:v>
                </c:pt>
                <c:pt idx="3">
                  <c:v>2.321609206</c:v>
                </c:pt>
                <c:pt idx="4">
                  <c:v>2.329661477</c:v>
                </c:pt>
                <c:pt idx="5">
                  <c:v>2.332136718</c:v>
                </c:pt>
                <c:pt idx="6">
                  <c:v>2.302489707</c:v>
                </c:pt>
                <c:pt idx="7">
                  <c:v>2.342323488</c:v>
                </c:pt>
                <c:pt idx="8">
                  <c:v>-0.578742818</c:v>
                </c:pt>
                <c:pt idx="9">
                  <c:v>7.026371389</c:v>
                </c:pt>
                <c:pt idx="10">
                  <c:v>7.269224447</c:v>
                </c:pt>
                <c:pt idx="11">
                  <c:v>2.580201085</c:v>
                </c:pt>
                <c:pt idx="12">
                  <c:v>2.577010609</c:v>
                </c:pt>
                <c:pt idx="13">
                  <c:v>2.544523612</c:v>
                </c:pt>
              </c:strCache>
            </c:strRef>
          </c:xVal>
          <c:yVal>
            <c:numRef>
              <c:f>Sheet1!$C$41:$C$54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B7-4288-94A2-1C64BE76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16687"/>
        <c:axId val="722820527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Repère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strRef>
                    <c:extLst>
                      <c:ext uri="{02D57815-91ED-43cb-92C2-25804820EDAC}">
                        <c15:formulaRef>
                          <c15:sqref>Sheet1!$F$56:$F$58</c15:sqref>
                        </c15:formulaRef>
                      </c:ext>
                    </c:extLst>
                    <c:strCache>
                      <c:ptCount val="3"/>
                      <c:pt idx="0">
                        <c:v>2.5176</c:v>
                      </c:pt>
                      <c:pt idx="1">
                        <c:v>7.9473</c:v>
                      </c:pt>
                      <c:pt idx="2">
                        <c:v>3.1582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Sheet1!$E$56:$E$58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0B7-4288-94A2-1C64BE76A0C5}"/>
                  </c:ext>
                </c:extLst>
              </c15:ser>
            </c15:filteredScatterSeries>
          </c:ext>
        </c:extLst>
      </c:scatterChart>
      <c:valAx>
        <c:axId val="7228166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22820527"/>
        <c:crosses val="autoZero"/>
        <c:crossBetween val="midCat"/>
      </c:valAx>
      <c:valAx>
        <c:axId val="7228205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22816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357911</xdr:colOff>
      <xdr:row>3</xdr:row>
      <xdr:rowOff>86034</xdr:rowOff>
    </xdr:from>
    <xdr:to>
      <xdr:col>18</xdr:col>
      <xdr:colOff>346363</xdr:colOff>
      <xdr:row>28</xdr:row>
      <xdr:rowOff>162393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379270A-0C54-A7EB-0CF5-CE98C1F2C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441131</xdr:colOff>
      <xdr:row>1</xdr:row>
      <xdr:rowOff>87443</xdr:rowOff>
    </xdr:from>
    <xdr:to>
      <xdr:col>18</xdr:col>
      <xdr:colOff>137224</xdr:colOff>
      <xdr:row>32</xdr:row>
      <xdr:rowOff>135846</xdr:rowOff>
    </xdr:to>
    <xdr:pic>
      <xdr:nvPicPr>
        <xdr:cNvPr id="6" name="Image 5" descr="France Carte De Pays Vecteurs libres de droits et plus d'images  vectorielles de France - France, Carte, Vectoriel - iStock">
          <a:extLst>
            <a:ext uri="{FF2B5EF4-FFF2-40B4-BE49-F238E27FC236}">
              <a16:creationId xmlns:a16="http://schemas.microsoft.com/office/drawing/2014/main" id="{08B42DFF-228B-6BF8-1A3A-5C0EB69BE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6574" y="274820"/>
          <a:ext cx="5817076" cy="5857092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data=!4m2!3m1!1s0x12cdc287df875ea1:0xecc4e2bf4062e672?sa=X&amp;ved=1t:8290&amp;ictx=11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58"/>
  <sheetViews>
    <sheetView topLeftCell="A15" zoomScale="61" workbookViewId="0">
      <selection activeCell="F19" sqref="F19:F38"/>
    </sheetView>
  </sheetViews>
  <sheetFormatPr baseColWidth="10" defaultColWidth="8.88671875" defaultRowHeight="14.4" x14ac:dyDescent="0.3"/>
  <cols>
    <col min="4" max="4" width="14" bestFit="1" customWidth="1"/>
    <col min="5" max="5" width="18" bestFit="1" customWidth="1"/>
    <col min="6" max="6" width="24.554687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8" t="s">
        <v>165</v>
      </c>
    </row>
    <row r="5" spans="1:6" x14ac:dyDescent="0.3">
      <c r="A5" t="s">
        <v>5</v>
      </c>
      <c r="B5" t="s">
        <v>30</v>
      </c>
      <c r="C5" t="s">
        <v>6</v>
      </c>
      <c r="D5" t="s">
        <v>31</v>
      </c>
      <c r="E5" t="s">
        <v>32</v>
      </c>
      <c r="F5" t="str">
        <f>D5 &amp;","&amp; E5</f>
        <v>48.496421,7.4698832</v>
      </c>
    </row>
    <row r="6" spans="1:6" x14ac:dyDescent="0.3">
      <c r="A6" t="s">
        <v>5</v>
      </c>
      <c r="B6" t="s">
        <v>33</v>
      </c>
      <c r="C6" t="s">
        <v>6</v>
      </c>
      <c r="D6" t="s">
        <v>34</v>
      </c>
      <c r="E6" t="s">
        <v>35</v>
      </c>
      <c r="F6" t="str">
        <f t="shared" ref="F6:F38" si="0">D6 &amp;","&amp; E6</f>
        <v>47.2069234,2.0914316</v>
      </c>
    </row>
    <row r="7" spans="1:6" x14ac:dyDescent="0.3">
      <c r="A7" t="s">
        <v>5</v>
      </c>
      <c r="B7" t="s">
        <v>36</v>
      </c>
      <c r="C7" t="s">
        <v>6</v>
      </c>
      <c r="D7" t="s">
        <v>37</v>
      </c>
      <c r="E7" t="s">
        <v>38</v>
      </c>
      <c r="F7" t="str">
        <f t="shared" si="0"/>
        <v>46.79062745,1.65878754576196</v>
      </c>
    </row>
    <row r="8" spans="1:6" x14ac:dyDescent="0.3">
      <c r="A8" t="s">
        <v>5</v>
      </c>
      <c r="B8" t="s">
        <v>39</v>
      </c>
      <c r="C8" t="s">
        <v>6</v>
      </c>
      <c r="D8" t="s">
        <v>40</v>
      </c>
      <c r="E8" t="s">
        <v>41</v>
      </c>
      <c r="F8" t="str">
        <f t="shared" si="0"/>
        <v>47.4276607,1.5605367</v>
      </c>
    </row>
    <row r="9" spans="1:6" x14ac:dyDescent="0.3">
      <c r="A9" t="s">
        <v>5</v>
      </c>
      <c r="B9" t="s">
        <v>42</v>
      </c>
      <c r="C9" t="s">
        <v>6</v>
      </c>
      <c r="D9" t="s">
        <v>43</v>
      </c>
      <c r="E9" t="s">
        <v>44</v>
      </c>
      <c r="F9" t="str">
        <f t="shared" si="0"/>
        <v>48.4621726,-2.7962147</v>
      </c>
    </row>
    <row r="10" spans="1:6" x14ac:dyDescent="0.3">
      <c r="A10" t="s">
        <v>5</v>
      </c>
      <c r="B10" t="s">
        <v>45</v>
      </c>
      <c r="C10" t="s">
        <v>6</v>
      </c>
      <c r="D10" t="s">
        <v>46</v>
      </c>
      <c r="E10" t="s">
        <v>47</v>
      </c>
      <c r="F10" t="str">
        <f t="shared" si="0"/>
        <v>48.4275697,1.4541006</v>
      </c>
    </row>
    <row r="11" spans="1:6" x14ac:dyDescent="0.3">
      <c r="A11" t="s">
        <v>5</v>
      </c>
      <c r="B11" t="s">
        <v>48</v>
      </c>
      <c r="C11" t="s">
        <v>6</v>
      </c>
      <c r="D11" t="s">
        <v>49</v>
      </c>
      <c r="E11" t="s">
        <v>50</v>
      </c>
      <c r="F11" t="str">
        <f t="shared" si="0"/>
        <v>47.0811658,2.399125</v>
      </c>
    </row>
    <row r="12" spans="1:6" x14ac:dyDescent="0.3">
      <c r="A12" t="s">
        <v>5</v>
      </c>
      <c r="B12" t="s">
        <v>51</v>
      </c>
      <c r="C12" t="s">
        <v>6</v>
      </c>
      <c r="D12" t="s">
        <v>52</v>
      </c>
      <c r="E12" t="s">
        <v>53</v>
      </c>
      <c r="F12" t="str">
        <f t="shared" si="0"/>
        <v>47.4571987,-0.4896589</v>
      </c>
    </row>
    <row r="13" spans="1:6" x14ac:dyDescent="0.3">
      <c r="A13" t="s">
        <v>5</v>
      </c>
      <c r="B13" t="s">
        <v>54</v>
      </c>
      <c r="C13" t="s">
        <v>6</v>
      </c>
      <c r="D13" t="s">
        <v>55</v>
      </c>
      <c r="E13" t="s">
        <v>56</v>
      </c>
      <c r="F13" t="str">
        <f t="shared" si="0"/>
        <v>47.883725,1.7723591</v>
      </c>
    </row>
    <row r="14" spans="1:6" x14ac:dyDescent="0.3">
      <c r="A14" t="s">
        <v>5</v>
      </c>
      <c r="B14" t="s">
        <v>57</v>
      </c>
      <c r="C14" t="s">
        <v>6</v>
      </c>
      <c r="D14" t="s">
        <v>58</v>
      </c>
      <c r="E14" t="s">
        <v>59</v>
      </c>
      <c r="F14" t="str">
        <f t="shared" si="0"/>
        <v>47.792441,-3.260773</v>
      </c>
    </row>
    <row r="15" spans="1:6" x14ac:dyDescent="0.3">
      <c r="A15" t="s">
        <v>5</v>
      </c>
      <c r="B15" t="s">
        <v>60</v>
      </c>
      <c r="C15" t="s">
        <v>6</v>
      </c>
      <c r="D15" t="s">
        <v>61</v>
      </c>
      <c r="E15" t="s">
        <v>62</v>
      </c>
      <c r="F15" t="str">
        <f t="shared" si="0"/>
        <v>48.1096452,-1.7306101</v>
      </c>
    </row>
    <row r="16" spans="1:6" x14ac:dyDescent="0.3">
      <c r="A16" t="s">
        <v>5</v>
      </c>
      <c r="B16" t="s">
        <v>63</v>
      </c>
      <c r="C16" t="s">
        <v>6</v>
      </c>
      <c r="D16" t="s">
        <v>64</v>
      </c>
      <c r="E16" t="s">
        <v>65</v>
      </c>
      <c r="F16" t="str">
        <f t="shared" si="0"/>
        <v>43.2831459,5.5049245</v>
      </c>
    </row>
    <row r="17" spans="1:6" x14ac:dyDescent="0.3">
      <c r="A17" t="s">
        <v>5</v>
      </c>
      <c r="B17" t="s">
        <v>66</v>
      </c>
      <c r="C17" t="s">
        <v>6</v>
      </c>
      <c r="D17" t="s">
        <v>67</v>
      </c>
      <c r="E17" t="s">
        <v>68</v>
      </c>
      <c r="F17" t="str">
        <f t="shared" si="0"/>
        <v>43.345835,5.3661535</v>
      </c>
    </row>
    <row r="18" spans="1:6" x14ac:dyDescent="0.3">
      <c r="A18" t="s">
        <v>5</v>
      </c>
      <c r="B18" t="s">
        <v>69</v>
      </c>
      <c r="C18" t="s">
        <v>6</v>
      </c>
      <c r="D18" t="s">
        <v>70</v>
      </c>
      <c r="E18" t="s">
        <v>71</v>
      </c>
      <c r="F18" t="str">
        <f t="shared" si="0"/>
        <v>48.7805221,2.48352610459444</v>
      </c>
    </row>
    <row r="19" spans="1:6" x14ac:dyDescent="0.3">
      <c r="A19" t="s">
        <v>5</v>
      </c>
      <c r="B19" t="s">
        <v>72</v>
      </c>
      <c r="C19" t="s">
        <v>6</v>
      </c>
      <c r="D19" t="s">
        <v>73</v>
      </c>
      <c r="E19" t="s">
        <v>74</v>
      </c>
      <c r="F19" t="str">
        <f t="shared" si="0"/>
        <v>47.9201613,1.9458339</v>
      </c>
    </row>
    <row r="20" spans="1:6" x14ac:dyDescent="0.3">
      <c r="A20" t="s">
        <v>5</v>
      </c>
      <c r="B20" t="s">
        <v>75</v>
      </c>
      <c r="C20" t="s">
        <v>6</v>
      </c>
      <c r="D20" t="s">
        <v>76</v>
      </c>
      <c r="E20" t="s">
        <v>77</v>
      </c>
      <c r="F20" t="str">
        <f t="shared" si="0"/>
        <v>47.3089354,-2.1835433</v>
      </c>
    </row>
    <row r="21" spans="1:6" x14ac:dyDescent="0.3">
      <c r="A21" t="s">
        <v>5</v>
      </c>
      <c r="B21" t="s">
        <v>78</v>
      </c>
      <c r="C21" t="s">
        <v>6</v>
      </c>
      <c r="D21" t="s">
        <v>79</v>
      </c>
      <c r="E21" t="s">
        <v>80</v>
      </c>
      <c r="F21" t="str">
        <f t="shared" si="0"/>
        <v>44.8000048,-0.5306251</v>
      </c>
    </row>
    <row r="22" spans="1:6" x14ac:dyDescent="0.3">
      <c r="A22" t="s">
        <v>5</v>
      </c>
      <c r="B22" t="s">
        <v>81</v>
      </c>
      <c r="C22" t="s">
        <v>6</v>
      </c>
      <c r="D22" t="s">
        <v>82</v>
      </c>
      <c r="E22" t="s">
        <v>83</v>
      </c>
      <c r="F22" t="str">
        <f t="shared" si="0"/>
        <v>44.8566123,0.520461</v>
      </c>
    </row>
    <row r="23" spans="1:6" x14ac:dyDescent="0.3">
      <c r="A23" t="s">
        <v>5</v>
      </c>
      <c r="B23" t="s">
        <v>84</v>
      </c>
      <c r="C23" t="s">
        <v>6</v>
      </c>
      <c r="D23" t="s">
        <v>85</v>
      </c>
      <c r="E23" t="s">
        <v>86</v>
      </c>
      <c r="F23" t="str">
        <f t="shared" si="0"/>
        <v>44.1750267,0.6613073</v>
      </c>
    </row>
    <row r="24" spans="1:6" x14ac:dyDescent="0.3">
      <c r="A24" t="s">
        <v>5</v>
      </c>
      <c r="B24" t="s">
        <v>87</v>
      </c>
      <c r="C24" t="s">
        <v>6</v>
      </c>
      <c r="D24" t="s">
        <v>88</v>
      </c>
      <c r="E24" t="s">
        <v>89</v>
      </c>
      <c r="F24" t="str">
        <f t="shared" si="0"/>
        <v>43.2118255,5.5962106</v>
      </c>
    </row>
    <row r="25" spans="1:6" x14ac:dyDescent="0.3">
      <c r="A25" t="s">
        <v>5</v>
      </c>
      <c r="B25" t="s">
        <v>90</v>
      </c>
      <c r="C25" t="s">
        <v>6</v>
      </c>
      <c r="D25" t="s">
        <v>91</v>
      </c>
      <c r="E25" t="s">
        <v>92</v>
      </c>
      <c r="F25" t="str">
        <f t="shared" si="0"/>
        <v>44.9290563,-0.2398762</v>
      </c>
    </row>
    <row r="26" spans="1:6" x14ac:dyDescent="0.3">
      <c r="A26" t="s">
        <v>5</v>
      </c>
      <c r="B26" t="s">
        <v>93</v>
      </c>
      <c r="C26" t="s">
        <v>6</v>
      </c>
      <c r="D26" t="s">
        <v>94</v>
      </c>
      <c r="E26" t="s">
        <v>95</v>
      </c>
      <c r="F26" t="str">
        <f t="shared" si="0"/>
        <v>43.3036187,-0.4171811</v>
      </c>
    </row>
    <row r="27" spans="1:6" x14ac:dyDescent="0.3">
      <c r="A27" t="s">
        <v>5</v>
      </c>
      <c r="B27" t="s">
        <v>96</v>
      </c>
      <c r="C27" t="s">
        <v>6</v>
      </c>
      <c r="D27" t="s">
        <v>97</v>
      </c>
      <c r="E27" t="s">
        <v>98</v>
      </c>
      <c r="F27" t="str">
        <f t="shared" si="0"/>
        <v>43.6379845,1.4198711</v>
      </c>
    </row>
    <row r="28" spans="1:6" x14ac:dyDescent="0.3">
      <c r="A28" t="s">
        <v>5</v>
      </c>
      <c r="B28" t="s">
        <v>99</v>
      </c>
      <c r="C28" t="s">
        <v>6</v>
      </c>
      <c r="D28" t="s">
        <v>100</v>
      </c>
      <c r="E28" t="s">
        <v>101</v>
      </c>
      <c r="F28" t="str">
        <f t="shared" si="0"/>
        <v>48.4231534,-4.4420356</v>
      </c>
    </row>
    <row r="29" spans="1:6" x14ac:dyDescent="0.3">
      <c r="A29" t="s">
        <v>5</v>
      </c>
      <c r="B29" t="s">
        <v>102</v>
      </c>
      <c r="C29" t="s">
        <v>6</v>
      </c>
      <c r="D29" t="s">
        <v>103</v>
      </c>
      <c r="E29" t="s">
        <v>104</v>
      </c>
      <c r="F29" t="str">
        <f t="shared" si="0"/>
        <v>49.9353552,2.2753973</v>
      </c>
    </row>
    <row r="30" spans="1:6" x14ac:dyDescent="0.3">
      <c r="A30" t="s">
        <v>5</v>
      </c>
      <c r="B30" t="s">
        <v>105</v>
      </c>
      <c r="C30" t="s">
        <v>6</v>
      </c>
      <c r="D30" t="s">
        <v>106</v>
      </c>
      <c r="E30" t="s">
        <v>107</v>
      </c>
      <c r="F30" t="str">
        <f t="shared" si="0"/>
        <v>47.2098763,-1.7028967</v>
      </c>
    </row>
    <row r="31" spans="1:6" x14ac:dyDescent="0.3">
      <c r="A31" t="s">
        <v>5</v>
      </c>
      <c r="B31" t="s">
        <v>108</v>
      </c>
      <c r="C31" t="s">
        <v>6</v>
      </c>
      <c r="D31" t="s">
        <v>109</v>
      </c>
      <c r="E31" t="s">
        <v>110</v>
      </c>
      <c r="F31" t="str">
        <f t="shared" si="0"/>
        <v>45.7870872,5.9485341</v>
      </c>
    </row>
    <row r="32" spans="1:6" x14ac:dyDescent="0.3">
      <c r="A32" t="s">
        <v>5</v>
      </c>
      <c r="B32" t="s">
        <v>111</v>
      </c>
      <c r="C32" t="s">
        <v>6</v>
      </c>
      <c r="D32" t="s">
        <v>112</v>
      </c>
      <c r="E32" t="s">
        <v>113</v>
      </c>
      <c r="F32" t="str">
        <f t="shared" si="0"/>
        <v>45.8108613,3.1493182</v>
      </c>
    </row>
    <row r="33" spans="1:6" x14ac:dyDescent="0.3">
      <c r="A33" t="s">
        <v>5</v>
      </c>
      <c r="B33" t="s">
        <v>114</v>
      </c>
      <c r="C33" t="s">
        <v>6</v>
      </c>
      <c r="D33" t="s">
        <v>115</v>
      </c>
      <c r="E33" t="s">
        <v>116</v>
      </c>
      <c r="F33" t="str">
        <f t="shared" si="0"/>
        <v>45.4732125,4.3842432</v>
      </c>
    </row>
    <row r="34" spans="1:6" x14ac:dyDescent="0.3">
      <c r="A34" t="s">
        <v>5</v>
      </c>
      <c r="B34" t="s">
        <v>117</v>
      </c>
      <c r="C34" t="s">
        <v>6</v>
      </c>
      <c r="D34" t="s">
        <v>118</v>
      </c>
      <c r="E34" t="s">
        <v>119</v>
      </c>
      <c r="F34" t="str">
        <f t="shared" si="0"/>
        <v>45.2899232,5.6231404</v>
      </c>
    </row>
    <row r="35" spans="1:6" x14ac:dyDescent="0.3">
      <c r="A35" t="s">
        <v>5</v>
      </c>
      <c r="B35" t="s">
        <v>7</v>
      </c>
      <c r="C35" t="s">
        <v>6</v>
      </c>
      <c r="D35" t="s">
        <v>120</v>
      </c>
      <c r="E35" t="s">
        <v>121</v>
      </c>
      <c r="F35" t="str">
        <f t="shared" si="0"/>
        <v>49.2492147,4.2160991</v>
      </c>
    </row>
    <row r="36" spans="1:6" x14ac:dyDescent="0.3">
      <c r="A36" t="s">
        <v>5</v>
      </c>
      <c r="B36" t="s">
        <v>122</v>
      </c>
      <c r="C36" t="s">
        <v>6</v>
      </c>
      <c r="D36" t="s">
        <v>123</v>
      </c>
      <c r="E36" t="s">
        <v>124</v>
      </c>
      <c r="F36" t="str">
        <f t="shared" si="0"/>
        <v>46.8022317,4.8698761</v>
      </c>
    </row>
    <row r="37" spans="1:6" x14ac:dyDescent="0.3">
      <c r="A37" t="s">
        <v>5</v>
      </c>
      <c r="B37" t="s">
        <v>125</v>
      </c>
      <c r="C37" t="s">
        <v>6</v>
      </c>
      <c r="D37" t="s">
        <v>126</v>
      </c>
      <c r="E37" t="s">
        <v>127</v>
      </c>
      <c r="F37" t="str">
        <f t="shared" si="0"/>
        <v>47.5108875,6.8559895</v>
      </c>
    </row>
    <row r="38" spans="1:6" x14ac:dyDescent="0.3">
      <c r="A38" t="s">
        <v>5</v>
      </c>
      <c r="B38" t="s">
        <v>128</v>
      </c>
      <c r="C38" t="s">
        <v>6</v>
      </c>
      <c r="D38" t="s">
        <v>129</v>
      </c>
      <c r="E38" t="s">
        <v>130</v>
      </c>
      <c r="F38" t="str">
        <f t="shared" si="0"/>
        <v>46.9996629,3.1859097</v>
      </c>
    </row>
    <row r="41" spans="1:6" x14ac:dyDescent="0.3">
      <c r="A41" s="3"/>
      <c r="B41" s="4" t="s">
        <v>9</v>
      </c>
      <c r="C41" s="4" t="s">
        <v>131</v>
      </c>
      <c r="D41" s="4" t="s">
        <v>132</v>
      </c>
      <c r="E41" t="str">
        <f>C41&amp;","&amp;D41</f>
        <v>48.8705348,2.330630526</v>
      </c>
    </row>
    <row r="42" spans="1:6" x14ac:dyDescent="0.3">
      <c r="A42" s="3"/>
      <c r="B42" s="4" t="s">
        <v>10</v>
      </c>
      <c r="C42" s="4" t="s">
        <v>133</v>
      </c>
      <c r="D42" s="4" t="s">
        <v>134</v>
      </c>
      <c r="E42" t="str">
        <f t="shared" ref="E42:E54" si="1">C42&amp;","&amp;D42</f>
        <v>48.86924016,2.331032959</v>
      </c>
    </row>
    <row r="43" spans="1:6" x14ac:dyDescent="0.3">
      <c r="A43" s="3"/>
      <c r="B43" s="4" t="s">
        <v>11</v>
      </c>
      <c r="C43" s="4" t="s">
        <v>135</v>
      </c>
      <c r="D43" s="4" t="s">
        <v>136</v>
      </c>
      <c r="E43" t="str">
        <f t="shared" si="1"/>
        <v>48.87350105,2.297572888</v>
      </c>
    </row>
    <row r="44" spans="1:6" x14ac:dyDescent="0.3">
      <c r="A44" s="3"/>
      <c r="B44" s="4" t="s">
        <v>12</v>
      </c>
      <c r="C44" s="4" t="s">
        <v>137</v>
      </c>
      <c r="D44" s="4" t="s">
        <v>138</v>
      </c>
      <c r="E44" t="str">
        <f t="shared" si="1"/>
        <v>48.86873091,2.321609206</v>
      </c>
    </row>
    <row r="45" spans="1:6" x14ac:dyDescent="0.3">
      <c r="A45" s="3"/>
      <c r="B45" s="4" t="s">
        <v>13</v>
      </c>
      <c r="C45" s="4" t="s">
        <v>139</v>
      </c>
      <c r="D45" s="4" t="s">
        <v>140</v>
      </c>
      <c r="E45" t="str">
        <f t="shared" si="1"/>
        <v>48.86817121,2.329661477</v>
      </c>
    </row>
    <row r="46" spans="1:6" x14ac:dyDescent="0.3">
      <c r="A46" s="3"/>
      <c r="B46" s="4" t="s">
        <v>14</v>
      </c>
      <c r="C46" s="4" t="s">
        <v>141</v>
      </c>
      <c r="D46" s="4" t="s">
        <v>142</v>
      </c>
      <c r="E46" t="str">
        <f t="shared" si="1"/>
        <v>48.87359513,2.332136718</v>
      </c>
    </row>
    <row r="47" spans="1:6" x14ac:dyDescent="0.3">
      <c r="A47" s="3"/>
      <c r="B47" s="4" t="s">
        <v>15</v>
      </c>
      <c r="C47" s="4" t="s">
        <v>143</v>
      </c>
      <c r="D47" s="4" t="s">
        <v>144</v>
      </c>
      <c r="E47" t="str">
        <f t="shared" si="1"/>
        <v>48.86926809,2.302489707</v>
      </c>
    </row>
    <row r="48" spans="1:6" x14ac:dyDescent="0.3">
      <c r="A48" s="3"/>
      <c r="B48" s="4" t="s">
        <v>16</v>
      </c>
      <c r="C48" s="4" t="s">
        <v>145</v>
      </c>
      <c r="D48" s="4" t="s">
        <v>146</v>
      </c>
      <c r="E48" t="str">
        <f t="shared" si="1"/>
        <v>48.85920986,2.342323488</v>
      </c>
    </row>
    <row r="49" spans="1:6" x14ac:dyDescent="0.3">
      <c r="A49" s="3"/>
      <c r="B49" s="4" t="s">
        <v>17</v>
      </c>
      <c r="C49" s="4" t="s">
        <v>147</v>
      </c>
      <c r="D49" s="4" t="s">
        <v>148</v>
      </c>
      <c r="E49" t="str">
        <f t="shared" si="1"/>
        <v>44.84338091,-0.578742818</v>
      </c>
    </row>
    <row r="50" spans="1:6" x14ac:dyDescent="0.3">
      <c r="A50" s="3"/>
      <c r="B50" s="4" t="s">
        <v>18</v>
      </c>
      <c r="C50" s="4" t="s">
        <v>149</v>
      </c>
      <c r="D50" s="4" t="s">
        <v>150</v>
      </c>
      <c r="E50" t="str">
        <f t="shared" si="1"/>
        <v>43.54968583,7.026371389</v>
      </c>
    </row>
    <row r="51" spans="1:6" x14ac:dyDescent="0.3">
      <c r="A51" s="3"/>
      <c r="B51" s="4" t="s">
        <v>19</v>
      </c>
      <c r="C51" s="4" t="s">
        <v>151</v>
      </c>
      <c r="D51" s="4" t="s">
        <v>152</v>
      </c>
      <c r="E51" t="str">
        <f t="shared" si="1"/>
        <v>43.69723442,7.269224447</v>
      </c>
    </row>
    <row r="52" spans="1:6" x14ac:dyDescent="0.3">
      <c r="A52" s="3"/>
      <c r="B52" s="4" t="s">
        <v>20</v>
      </c>
      <c r="C52" s="4" t="s">
        <v>153</v>
      </c>
      <c r="D52" s="4" t="s">
        <v>154</v>
      </c>
      <c r="E52" t="str">
        <f t="shared" si="1"/>
        <v>49.00211173,2.580201085</v>
      </c>
    </row>
    <row r="53" spans="1:6" x14ac:dyDescent="0.3">
      <c r="A53" s="3"/>
      <c r="B53" s="4" t="s">
        <v>21</v>
      </c>
      <c r="C53" s="4" t="s">
        <v>155</v>
      </c>
      <c r="D53" s="4" t="s">
        <v>156</v>
      </c>
      <c r="E53" t="str">
        <f t="shared" si="1"/>
        <v>49.00243824,2.577010609</v>
      </c>
    </row>
    <row r="54" spans="1:6" x14ac:dyDescent="0.3">
      <c r="A54" s="3"/>
      <c r="B54" s="4" t="s">
        <v>22</v>
      </c>
      <c r="C54" s="4" t="s">
        <v>157</v>
      </c>
      <c r="D54" s="4" t="s">
        <v>158</v>
      </c>
      <c r="E54" t="str">
        <f t="shared" si="1"/>
        <v>49.01594814,2.544523612</v>
      </c>
    </row>
    <row r="56" spans="1:6" x14ac:dyDescent="0.3">
      <c r="B56" s="2" t="s">
        <v>8</v>
      </c>
      <c r="C56" s="2"/>
      <c r="D56" s="2"/>
      <c r="E56" t="s">
        <v>159</v>
      </c>
      <c r="F56" t="s">
        <v>160</v>
      </c>
    </row>
    <row r="57" spans="1:6" x14ac:dyDescent="0.3">
      <c r="B57" s="2"/>
      <c r="C57" s="2"/>
      <c r="D57" s="2"/>
      <c r="E57" t="s">
        <v>161</v>
      </c>
      <c r="F57" t="s">
        <v>162</v>
      </c>
    </row>
    <row r="58" spans="1:6" x14ac:dyDescent="0.3">
      <c r="B58" s="2"/>
      <c r="C58" s="2"/>
      <c r="D58" s="2"/>
      <c r="E58" t="s">
        <v>163</v>
      </c>
      <c r="F58" t="s">
        <v>164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6DFD-0C1B-40D0-A610-811CF52986FB}">
  <sheetPr codeName="Feuil7"/>
  <dimension ref="A1:AB30"/>
  <sheetViews>
    <sheetView zoomScale="69" workbookViewId="0">
      <selection activeCell="F10" sqref="F10"/>
    </sheetView>
  </sheetViews>
  <sheetFormatPr baseColWidth="10" defaultRowHeight="14.4" x14ac:dyDescent="0.3"/>
  <cols>
    <col min="1" max="3" width="14.5546875" customWidth="1"/>
  </cols>
  <sheetData>
    <row r="1" spans="1:27" x14ac:dyDescent="0.3">
      <c r="A1" s="28" t="s">
        <v>194</v>
      </c>
      <c r="B1" s="29"/>
      <c r="C1" s="30"/>
      <c r="D1" s="28" t="s">
        <v>6</v>
      </c>
      <c r="E1" s="29"/>
      <c r="F1" s="30"/>
      <c r="G1" s="28" t="s">
        <v>195</v>
      </c>
      <c r="H1" s="29"/>
      <c r="I1" s="30"/>
      <c r="J1" s="28" t="s">
        <v>196</v>
      </c>
      <c r="K1" s="29"/>
      <c r="L1" s="30"/>
      <c r="M1" s="28" t="s">
        <v>197</v>
      </c>
      <c r="N1" s="29"/>
      <c r="O1" s="30"/>
      <c r="P1" s="28" t="s">
        <v>198</v>
      </c>
      <c r="Q1" s="29"/>
      <c r="R1" s="30"/>
      <c r="S1" s="28" t="s">
        <v>199</v>
      </c>
      <c r="T1" s="29"/>
      <c r="U1" s="30"/>
      <c r="V1" s="28" t="s">
        <v>200</v>
      </c>
      <c r="W1" s="29"/>
      <c r="X1" s="30"/>
      <c r="Y1" s="28" t="s">
        <v>201</v>
      </c>
      <c r="Z1" s="29"/>
      <c r="AA1" s="30"/>
    </row>
    <row r="2" spans="1:27" x14ac:dyDescent="0.3">
      <c r="A2" s="38" t="s">
        <v>202</v>
      </c>
      <c r="B2" s="19" t="s">
        <v>1451</v>
      </c>
      <c r="C2" s="33" t="s">
        <v>218</v>
      </c>
      <c r="D2" s="31" t="s">
        <v>9</v>
      </c>
      <c r="E2" t="s">
        <v>1440</v>
      </c>
      <c r="F2" s="33" t="s">
        <v>270</v>
      </c>
      <c r="G2" s="38" t="s">
        <v>211</v>
      </c>
      <c r="H2" s="19" t="s">
        <v>1433</v>
      </c>
      <c r="I2" s="33" t="s">
        <v>221</v>
      </c>
      <c r="J2" s="38" t="s">
        <v>216</v>
      </c>
      <c r="K2" s="19" t="s">
        <v>1432</v>
      </c>
      <c r="L2" s="33" t="str" cm="1">
        <f t="array" ref="L2">GetCoordinatesBingSimple(K2)</f>
        <v>52.3594391,4.8780612</v>
      </c>
      <c r="M2" s="38" t="s">
        <v>225</v>
      </c>
      <c r="N2" s="19" t="s">
        <v>1428</v>
      </c>
      <c r="O2" s="33" t="s">
        <v>229</v>
      </c>
      <c r="P2" s="38" t="s">
        <v>233</v>
      </c>
      <c r="Q2" s="19" t="s">
        <v>1422</v>
      </c>
      <c r="R2" s="33" t="s">
        <v>240</v>
      </c>
      <c r="S2" s="38" t="s">
        <v>246</v>
      </c>
      <c r="T2" t="s">
        <v>1419</v>
      </c>
      <c r="U2" s="33" t="s">
        <v>254</v>
      </c>
      <c r="V2" s="38" t="s">
        <v>262</v>
      </c>
      <c r="W2" s="19" t="s">
        <v>1416</v>
      </c>
      <c r="X2" s="33" t="s">
        <v>265</v>
      </c>
      <c r="Y2" s="38" t="s">
        <v>268</v>
      </c>
      <c r="Z2" s="19" t="s">
        <v>1404</v>
      </c>
      <c r="AA2" s="33" t="str" cm="1">
        <f t="array" ref="AA2">GetCoordinatesBingSimple(Z2)</f>
        <v>-26.06265,28.05764</v>
      </c>
    </row>
    <row r="3" spans="1:27" x14ac:dyDescent="0.3">
      <c r="A3" s="38" t="s">
        <v>203</v>
      </c>
      <c r="B3" s="19" t="s">
        <v>1455</v>
      </c>
      <c r="C3" s="33" t="s">
        <v>204</v>
      </c>
      <c r="D3" s="31" t="s">
        <v>10</v>
      </c>
      <c r="E3" t="s">
        <v>1441</v>
      </c>
      <c r="F3" s="33" t="s">
        <v>271</v>
      </c>
      <c r="G3" s="38" t="s">
        <v>212</v>
      </c>
      <c r="H3" s="19" t="s">
        <v>1434</v>
      </c>
      <c r="I3" s="33" t="s">
        <v>222</v>
      </c>
      <c r="J3" s="38" t="s">
        <v>217</v>
      </c>
      <c r="K3" s="19" t="s">
        <v>1391</v>
      </c>
      <c r="L3" s="33" t="str" cm="1">
        <f t="array" ref="L3">GetCoordinatesBingSimple(K3)</f>
        <v>52.3732926,4.8937176</v>
      </c>
      <c r="M3" s="38" t="s">
        <v>226</v>
      </c>
      <c r="N3" s="19" t="s">
        <v>1429</v>
      </c>
      <c r="O3" s="33" t="s">
        <v>230</v>
      </c>
      <c r="P3" s="38" t="s">
        <v>234</v>
      </c>
      <c r="Q3" s="19" t="s">
        <v>1424</v>
      </c>
      <c r="R3" s="33" t="s">
        <v>241</v>
      </c>
      <c r="S3" s="38" t="s">
        <v>247</v>
      </c>
      <c r="T3" t="s">
        <v>1420</v>
      </c>
      <c r="U3" s="33" t="s">
        <v>255</v>
      </c>
      <c r="V3" s="38" t="s">
        <v>263</v>
      </c>
      <c r="W3" t="s">
        <v>1417</v>
      </c>
      <c r="X3" s="33" t="s">
        <v>266</v>
      </c>
      <c r="Y3" s="38" t="s">
        <v>23</v>
      </c>
      <c r="Z3" s="19"/>
      <c r="AA3" s="33"/>
    </row>
    <row r="4" spans="1:27" x14ac:dyDescent="0.3">
      <c r="A4" s="38" t="s">
        <v>205</v>
      </c>
      <c r="B4" s="19" t="s">
        <v>1452</v>
      </c>
      <c r="C4" s="33" t="s">
        <v>206</v>
      </c>
      <c r="D4" s="31" t="s">
        <v>11</v>
      </c>
      <c r="E4" t="s">
        <v>1442</v>
      </c>
      <c r="F4" s="33" t="s">
        <v>272</v>
      </c>
      <c r="G4" s="38" t="s">
        <v>213</v>
      </c>
      <c r="H4" s="19" t="s">
        <v>1389</v>
      </c>
      <c r="I4" s="33" t="str" cm="1">
        <f t="array" ref="I4">GetCoordinatesBingSimple(H4)</f>
        <v>41.9054348,12.4809983</v>
      </c>
      <c r="J4" s="38" t="s">
        <v>23</v>
      </c>
      <c r="K4" s="19"/>
      <c r="L4" s="33"/>
      <c r="M4" s="38" t="s">
        <v>227</v>
      </c>
      <c r="N4" s="19" t="s">
        <v>1431</v>
      </c>
      <c r="O4" s="33" t="s">
        <v>231</v>
      </c>
      <c r="P4" s="38" t="s">
        <v>235</v>
      </c>
      <c r="Q4" s="19" t="s">
        <v>1426</v>
      </c>
      <c r="R4" s="33" t="s">
        <v>242</v>
      </c>
      <c r="S4" s="38" t="s">
        <v>248</v>
      </c>
      <c r="T4" t="s">
        <v>1421</v>
      </c>
      <c r="U4" s="33" t="s">
        <v>256</v>
      </c>
      <c r="V4" s="38" t="s">
        <v>264</v>
      </c>
      <c r="W4" t="s">
        <v>1418</v>
      </c>
      <c r="X4" s="33" t="s">
        <v>267</v>
      </c>
      <c r="Y4" s="38" t="s">
        <v>23</v>
      </c>
      <c r="Z4" s="19"/>
      <c r="AA4" s="33"/>
    </row>
    <row r="5" spans="1:27" x14ac:dyDescent="0.3">
      <c r="A5" s="38" t="s">
        <v>207</v>
      </c>
      <c r="B5" s="19" t="s">
        <v>1454</v>
      </c>
      <c r="C5" s="33" t="s">
        <v>208</v>
      </c>
      <c r="D5" s="31" t="s">
        <v>12</v>
      </c>
      <c r="E5" t="s">
        <v>1443</v>
      </c>
      <c r="F5" s="33" t="s">
        <v>273</v>
      </c>
      <c r="G5" s="38" t="s">
        <v>214</v>
      </c>
      <c r="H5" s="19" t="s">
        <v>1435</v>
      </c>
      <c r="I5" s="33" t="s">
        <v>223</v>
      </c>
      <c r="J5" s="38" t="s">
        <v>23</v>
      </c>
      <c r="K5" s="19"/>
      <c r="L5" s="33"/>
      <c r="M5" s="38" t="s">
        <v>228</v>
      </c>
      <c r="N5" s="19" t="s">
        <v>1430</v>
      </c>
      <c r="O5" s="33" t="s">
        <v>232</v>
      </c>
      <c r="P5" s="38" t="s">
        <v>236</v>
      </c>
      <c r="Q5" s="19" t="s">
        <v>1427</v>
      </c>
      <c r="R5" s="33" t="s">
        <v>243</v>
      </c>
      <c r="S5" s="38" t="s">
        <v>249</v>
      </c>
      <c r="T5" s="19" t="s">
        <v>249</v>
      </c>
      <c r="U5" s="33" t="s">
        <v>257</v>
      </c>
      <c r="V5" s="38" t="s">
        <v>23</v>
      </c>
      <c r="W5" s="19"/>
      <c r="X5" s="33"/>
      <c r="Y5" s="38"/>
      <c r="Z5" s="19"/>
      <c r="AA5" s="33"/>
    </row>
    <row r="6" spans="1:27" x14ac:dyDescent="0.3">
      <c r="A6" s="38" t="s">
        <v>209</v>
      </c>
      <c r="B6" s="19" t="s">
        <v>209</v>
      </c>
      <c r="C6" s="33" t="s">
        <v>219</v>
      </c>
      <c r="D6" s="31" t="s">
        <v>13</v>
      </c>
      <c r="E6" s="32" t="s">
        <v>1444</v>
      </c>
      <c r="F6" s="33" t="s">
        <v>274</v>
      </c>
      <c r="G6" s="38" t="s">
        <v>215</v>
      </c>
      <c r="H6" s="19" t="s">
        <v>1436</v>
      </c>
      <c r="I6" s="33" t="s">
        <v>224</v>
      </c>
      <c r="J6" s="38" t="s">
        <v>23</v>
      </c>
      <c r="K6" s="19"/>
      <c r="L6" s="33"/>
      <c r="M6" s="38"/>
      <c r="N6" s="19"/>
      <c r="O6" s="33"/>
      <c r="P6" s="38" t="s">
        <v>237</v>
      </c>
      <c r="Q6" s="19" t="s">
        <v>1423</v>
      </c>
      <c r="R6" s="33" t="s">
        <v>244</v>
      </c>
      <c r="S6" s="38" t="s">
        <v>250</v>
      </c>
      <c r="T6" s="19" t="s">
        <v>250</v>
      </c>
      <c r="U6" s="33" t="s">
        <v>258</v>
      </c>
      <c r="V6" s="38" t="s">
        <v>23</v>
      </c>
      <c r="W6" s="19"/>
      <c r="X6" s="33"/>
      <c r="Y6" s="38"/>
      <c r="Z6" s="19"/>
      <c r="AA6" s="33"/>
    </row>
    <row r="7" spans="1:27" x14ac:dyDescent="0.3">
      <c r="A7" s="38" t="s">
        <v>210</v>
      </c>
      <c r="B7" s="19" t="s">
        <v>1453</v>
      </c>
      <c r="C7" s="33" t="s">
        <v>220</v>
      </c>
      <c r="D7" s="31" t="s">
        <v>14</v>
      </c>
      <c r="E7" s="32" t="s">
        <v>1445</v>
      </c>
      <c r="F7" s="33" t="s">
        <v>275</v>
      </c>
      <c r="G7" s="38" t="s">
        <v>23</v>
      </c>
      <c r="H7" s="19"/>
      <c r="I7" s="33"/>
      <c r="J7" s="38"/>
      <c r="K7" s="19"/>
      <c r="L7" s="33"/>
      <c r="M7" s="38"/>
      <c r="N7" s="19"/>
      <c r="O7" s="33"/>
      <c r="P7" s="38" t="s">
        <v>238</v>
      </c>
      <c r="Q7" s="19" t="s">
        <v>1425</v>
      </c>
      <c r="R7" s="33" t="s">
        <v>245</v>
      </c>
      <c r="S7" s="38" t="s">
        <v>251</v>
      </c>
      <c r="T7" s="19" t="s">
        <v>251</v>
      </c>
      <c r="U7" s="33" t="s">
        <v>259</v>
      </c>
      <c r="V7" s="38" t="s">
        <v>23</v>
      </c>
      <c r="W7" s="19"/>
      <c r="X7" s="33"/>
      <c r="Y7" s="38"/>
      <c r="Z7" s="19"/>
      <c r="AA7" s="33"/>
    </row>
    <row r="8" spans="1:27" x14ac:dyDescent="0.3">
      <c r="A8" s="38"/>
      <c r="B8" s="19"/>
      <c r="C8" s="33"/>
      <c r="D8" s="31" t="s">
        <v>15</v>
      </c>
      <c r="E8" s="32" t="s">
        <v>1446</v>
      </c>
      <c r="F8" s="33" t="s">
        <v>276</v>
      </c>
      <c r="G8" s="38" t="s">
        <v>23</v>
      </c>
      <c r="H8" s="19"/>
      <c r="I8" s="33"/>
      <c r="J8" s="38"/>
      <c r="K8" s="19"/>
      <c r="L8" s="33"/>
      <c r="M8" s="38"/>
      <c r="N8" s="19"/>
      <c r="O8" s="33"/>
      <c r="P8" s="38" t="s">
        <v>239</v>
      </c>
      <c r="Q8" s="19" t="s">
        <v>1405</v>
      </c>
      <c r="R8" s="33" t="str" cm="1">
        <f t="array" ref="R8">GetCoordinatesBingSimple(Q8)</f>
        <v>46.4972251,9.8400212</v>
      </c>
      <c r="S8" s="38" t="s">
        <v>252</v>
      </c>
      <c r="T8" s="19" t="s">
        <v>252</v>
      </c>
      <c r="U8" s="33" t="s">
        <v>260</v>
      </c>
      <c r="V8" s="38" t="s">
        <v>23</v>
      </c>
      <c r="W8" s="19"/>
      <c r="X8" s="33"/>
      <c r="Y8" s="38"/>
      <c r="Z8" s="19"/>
      <c r="AA8" s="33"/>
    </row>
    <row r="9" spans="1:27" x14ac:dyDescent="0.3">
      <c r="A9" s="38"/>
      <c r="B9" s="19"/>
      <c r="C9" s="33"/>
      <c r="D9" s="31" t="s">
        <v>16</v>
      </c>
      <c r="E9" s="32" t="s">
        <v>1447</v>
      </c>
      <c r="F9" s="33" t="s">
        <v>277</v>
      </c>
      <c r="G9" s="38" t="s">
        <v>23</v>
      </c>
      <c r="H9" s="19"/>
      <c r="I9" s="33"/>
      <c r="J9" s="38"/>
      <c r="K9" s="19"/>
      <c r="L9" s="33"/>
      <c r="M9" s="38"/>
      <c r="N9" s="19"/>
      <c r="O9" s="33"/>
      <c r="P9" s="38"/>
      <c r="Q9" s="19"/>
      <c r="R9" s="33"/>
      <c r="S9" s="38" t="s">
        <v>253</v>
      </c>
      <c r="T9" s="19" t="s">
        <v>253</v>
      </c>
      <c r="U9" s="33" t="s">
        <v>261</v>
      </c>
      <c r="V9" s="38" t="s">
        <v>23</v>
      </c>
      <c r="W9" s="19"/>
      <c r="X9" s="33"/>
      <c r="Y9" s="38"/>
      <c r="Z9" s="19"/>
      <c r="AA9" s="33"/>
    </row>
    <row r="10" spans="1:27" x14ac:dyDescent="0.3">
      <c r="A10" s="38"/>
      <c r="B10" s="19"/>
      <c r="C10" s="33"/>
      <c r="D10" s="31" t="s">
        <v>17</v>
      </c>
      <c r="E10" s="32" t="s">
        <v>1437</v>
      </c>
      <c r="F10" s="33" t="s">
        <v>278</v>
      </c>
      <c r="G10" s="38" t="s">
        <v>23</v>
      </c>
      <c r="H10" s="19"/>
      <c r="I10" s="33"/>
      <c r="J10" s="38"/>
      <c r="K10" s="19"/>
      <c r="L10" s="33"/>
      <c r="M10" s="38"/>
      <c r="N10" s="19"/>
      <c r="O10" s="33"/>
      <c r="P10" s="38"/>
      <c r="Q10" s="19"/>
      <c r="R10" s="33"/>
      <c r="S10" s="38"/>
      <c r="T10" s="19"/>
      <c r="U10" s="33"/>
      <c r="V10" s="38"/>
      <c r="W10" s="19"/>
      <c r="X10" s="33"/>
      <c r="Y10" s="38"/>
      <c r="Z10" s="19"/>
      <c r="AA10" s="33"/>
    </row>
    <row r="11" spans="1:27" x14ac:dyDescent="0.3">
      <c r="A11" s="38"/>
      <c r="B11" s="19"/>
      <c r="C11" s="33"/>
      <c r="D11" s="31" t="s">
        <v>18</v>
      </c>
      <c r="E11" s="32" t="s">
        <v>1438</v>
      </c>
      <c r="F11" s="33" t="s">
        <v>279</v>
      </c>
      <c r="G11" s="38" t="s">
        <v>23</v>
      </c>
      <c r="H11" s="19"/>
      <c r="I11" s="33"/>
      <c r="J11" s="38"/>
      <c r="K11" s="19"/>
      <c r="L11" s="33"/>
      <c r="M11" s="38"/>
      <c r="N11" s="19"/>
      <c r="O11" s="33"/>
      <c r="P11" s="38"/>
      <c r="Q11" s="19"/>
      <c r="R11" s="33"/>
      <c r="S11" s="38"/>
      <c r="T11" s="19"/>
      <c r="U11" s="33"/>
      <c r="V11" s="38"/>
      <c r="W11" s="19"/>
      <c r="X11" s="33"/>
      <c r="Y11" s="38"/>
      <c r="Z11" s="19"/>
      <c r="AA11" s="33"/>
    </row>
    <row r="12" spans="1:27" x14ac:dyDescent="0.3">
      <c r="A12" s="38"/>
      <c r="B12" s="19"/>
      <c r="C12" s="33"/>
      <c r="D12" s="31" t="s">
        <v>19</v>
      </c>
      <c r="E12" s="32" t="s">
        <v>1439</v>
      </c>
      <c r="F12" s="33" t="s">
        <v>280</v>
      </c>
      <c r="G12" s="38" t="s">
        <v>23</v>
      </c>
      <c r="H12" s="19"/>
      <c r="I12" s="33"/>
      <c r="J12" s="38"/>
      <c r="K12" s="19"/>
      <c r="L12" s="33"/>
      <c r="M12" s="38"/>
      <c r="N12" s="19"/>
      <c r="O12" s="33"/>
      <c r="P12" s="38"/>
      <c r="Q12" s="19"/>
      <c r="R12" s="33"/>
      <c r="S12" s="38"/>
      <c r="T12" s="19"/>
      <c r="U12" s="33"/>
      <c r="V12" s="38"/>
      <c r="W12" s="19"/>
      <c r="X12" s="33"/>
      <c r="Y12" s="38"/>
      <c r="Z12" s="19"/>
      <c r="AA12" s="33"/>
    </row>
    <row r="13" spans="1:27" x14ac:dyDescent="0.3">
      <c r="A13" s="38"/>
      <c r="B13" s="19"/>
      <c r="C13" s="33"/>
      <c r="D13" s="31" t="s">
        <v>20</v>
      </c>
      <c r="E13" s="32" t="s">
        <v>1448</v>
      </c>
      <c r="F13" s="33" t="s">
        <v>281</v>
      </c>
      <c r="G13" s="38" t="s">
        <v>23</v>
      </c>
      <c r="H13" s="19"/>
      <c r="I13" s="33"/>
      <c r="J13" s="38"/>
      <c r="K13" s="19"/>
      <c r="L13" s="33"/>
      <c r="M13" s="38"/>
      <c r="N13" s="19"/>
      <c r="O13" s="33"/>
      <c r="P13" s="38"/>
      <c r="Q13" s="19"/>
      <c r="R13" s="33"/>
      <c r="S13" s="38"/>
      <c r="T13" s="19"/>
      <c r="U13" s="33"/>
      <c r="V13" s="38"/>
      <c r="W13" s="19"/>
      <c r="X13" s="33"/>
      <c r="Y13" s="38"/>
      <c r="Z13" s="19"/>
      <c r="AA13" s="33"/>
    </row>
    <row r="14" spans="1:27" x14ac:dyDescent="0.3">
      <c r="A14" s="38"/>
      <c r="B14" s="19"/>
      <c r="C14" s="33"/>
      <c r="D14" s="31" t="s">
        <v>21</v>
      </c>
      <c r="E14" s="32" t="s">
        <v>1449</v>
      </c>
      <c r="F14" s="33" t="s">
        <v>282</v>
      </c>
      <c r="G14" s="38" t="s">
        <v>23</v>
      </c>
      <c r="H14" s="19"/>
      <c r="I14" s="33"/>
      <c r="J14" s="38"/>
      <c r="K14" s="19"/>
      <c r="L14" s="33"/>
      <c r="M14" s="38"/>
      <c r="N14" s="19"/>
      <c r="O14" s="33"/>
      <c r="P14" s="38"/>
      <c r="Q14" s="19"/>
      <c r="R14" s="33"/>
      <c r="S14" s="38"/>
      <c r="T14" s="19"/>
      <c r="U14" s="33"/>
      <c r="V14" s="38"/>
      <c r="W14" s="19"/>
      <c r="X14" s="33"/>
      <c r="Y14" s="38"/>
      <c r="Z14" s="19"/>
      <c r="AA14" s="33"/>
    </row>
    <row r="15" spans="1:27" ht="15" thickBot="1" x14ac:dyDescent="0.35">
      <c r="A15" s="38"/>
      <c r="B15" s="19"/>
      <c r="C15" s="33"/>
      <c r="D15" s="31" t="s">
        <v>22</v>
      </c>
      <c r="E15" s="32" t="s">
        <v>1450</v>
      </c>
      <c r="F15" s="33" t="s">
        <v>283</v>
      </c>
      <c r="G15" s="38" t="s">
        <v>23</v>
      </c>
      <c r="H15" s="19"/>
      <c r="I15" s="33"/>
      <c r="J15" s="38"/>
      <c r="K15" s="19"/>
      <c r="L15" s="33"/>
      <c r="M15" s="38"/>
      <c r="N15" s="19"/>
      <c r="O15" s="33"/>
      <c r="P15" s="39"/>
      <c r="Q15" s="40"/>
      <c r="R15" s="34"/>
      <c r="S15" s="39"/>
      <c r="T15" s="40"/>
      <c r="U15" s="34"/>
      <c r="V15" s="39"/>
      <c r="W15" s="40"/>
      <c r="X15" s="34"/>
      <c r="Y15" s="39"/>
      <c r="Z15" s="40"/>
      <c r="AA15" s="34"/>
    </row>
    <row r="16" spans="1:27" ht="15" thickBot="1" x14ac:dyDescent="0.35">
      <c r="A16" s="43" t="s">
        <v>1333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  <c r="N16" s="45"/>
      <c r="O16" s="45"/>
      <c r="P16" s="45"/>
      <c r="Q16" s="45"/>
      <c r="R16" s="45"/>
      <c r="S16" s="44"/>
      <c r="T16" s="44"/>
      <c r="U16" s="44"/>
      <c r="V16" s="44"/>
      <c r="W16" s="44"/>
      <c r="X16" s="44"/>
      <c r="Y16" s="44"/>
      <c r="Z16" s="44"/>
      <c r="AA16" s="46"/>
    </row>
    <row r="17" spans="1:28" ht="15" thickBot="1" x14ac:dyDescent="0.35">
      <c r="A17" s="23" t="s">
        <v>1334</v>
      </c>
      <c r="B17" t="s">
        <v>1335</v>
      </c>
      <c r="C17" s="24" t="str" cm="1">
        <f t="array" ref="C17">GetCoordinatesBingSimple(B17)</f>
        <v>52.451977,13.423864</v>
      </c>
      <c r="D17" s="4" t="s">
        <v>23</v>
      </c>
      <c r="G17" s="23" t="s">
        <v>212</v>
      </c>
      <c r="H17" t="s">
        <v>1347</v>
      </c>
      <c r="I17" t="str" cm="1">
        <f t="array" ref="I17">GetCoordinatesBingSimple(H17)</f>
        <v>45.4812721,9.2007137</v>
      </c>
      <c r="J17" s="23" t="s">
        <v>1357</v>
      </c>
      <c r="K17" t="s">
        <v>1358</v>
      </c>
      <c r="L17" t="str" cm="1">
        <f t="array" ref="L17">GetCoordinatesBingSimple(K17)</f>
        <v>52.3558128,5.2440039</v>
      </c>
      <c r="M17" s="20" t="s">
        <v>1323</v>
      </c>
      <c r="N17" s="21"/>
      <c r="O17" s="21" t="str" cm="1">
        <f t="array" ref="O17">GetCoordinatesBingSimple(M17)</f>
        <v>40.4668698,-3.688579</v>
      </c>
      <c r="P17" s="20" t="s">
        <v>1366</v>
      </c>
      <c r="Q17" s="21" t="s">
        <v>1367</v>
      </c>
      <c r="R17" s="22" t="str" cm="1">
        <f t="array" ref="R17">GetCoordinatesBingSimple(Q17)</f>
        <v>47.415142,8.5633905</v>
      </c>
      <c r="S17" t="s">
        <v>1375</v>
      </c>
      <c r="T17" t="s">
        <v>1376</v>
      </c>
      <c r="U17" s="24" t="str" cm="1">
        <f t="array" ref="U17">GetCoordinatesBingSimple(T17)</f>
        <v>51.45259476,-2.57091427</v>
      </c>
      <c r="V17" s="23" t="s">
        <v>1381</v>
      </c>
      <c r="W17" t="s">
        <v>1382</v>
      </c>
      <c r="X17" s="24" t="str" cm="1">
        <f t="array" ref="X17">GetCoordinatesBingSimple(W17)</f>
        <v>41.01300049,28.96380043</v>
      </c>
      <c r="Y17" s="35" t="s">
        <v>1386</v>
      </c>
      <c r="Z17" s="36" t="s">
        <v>1385</v>
      </c>
      <c r="AA17" s="37" t="str" cm="1">
        <f t="array" ref="AA17">GetCoordinatesBingSimple(Z17)</f>
        <v>-28.72790337,30.72720528</v>
      </c>
      <c r="AB17" t="s">
        <v>23</v>
      </c>
    </row>
    <row r="18" spans="1:28" x14ac:dyDescent="0.3">
      <c r="A18" s="23" t="s">
        <v>1336</v>
      </c>
      <c r="B18" t="s">
        <v>1337</v>
      </c>
      <c r="C18" s="24" t="str" cm="1">
        <f t="array" ref="C18">GetCoordinatesBingSimple(B18)</f>
        <v>53.645892,10.030527</v>
      </c>
      <c r="D18" s="4" t="s">
        <v>23</v>
      </c>
      <c r="G18" s="23" t="s">
        <v>213</v>
      </c>
      <c r="H18" t="s">
        <v>1350</v>
      </c>
      <c r="I18" t="str" cm="1">
        <f t="array" ref="I18">GetCoordinatesBingSimple(H18)</f>
        <v>41.919603,12.5443508</v>
      </c>
      <c r="J18" s="23" t="s">
        <v>1359</v>
      </c>
      <c r="K18" t="s">
        <v>1360</v>
      </c>
      <c r="L18" t="str" cm="1">
        <f t="array" ref="L18">GetCoordinatesBingSimple(K18)</f>
        <v>52.665145,5.0744372</v>
      </c>
      <c r="M18" s="23" t="s">
        <v>1324</v>
      </c>
      <c r="O18" t="str" cm="1">
        <f t="array" ref="O18">GetCoordinatesBingSimple(M18)</f>
        <v>41.3927813,2.1582073</v>
      </c>
      <c r="P18" s="23" t="s">
        <v>1366</v>
      </c>
      <c r="Q18" t="s">
        <v>1368</v>
      </c>
      <c r="R18" s="24" t="str" cm="1">
        <f t="array" ref="R18">GetCoordinatesBingSimple(Q18)</f>
        <v>46.2009431,6.06616731</v>
      </c>
      <c r="S18" t="s">
        <v>1375</v>
      </c>
      <c r="T18" t="s">
        <v>1377</v>
      </c>
      <c r="U18" s="24" t="str" cm="1">
        <f t="array" ref="U18">GetCoordinatesBingSimple(T18)</f>
        <v>50.8542232,0.2676482</v>
      </c>
      <c r="V18" s="23" t="s">
        <v>1381</v>
      </c>
      <c r="W18" t="s">
        <v>1383</v>
      </c>
      <c r="X18" s="24" t="str" cm="1">
        <f t="array" ref="X18">GetCoordinatesBingSimple(W18)</f>
        <v>39.87478269,32.81667975</v>
      </c>
      <c r="Y18" t="s">
        <v>23</v>
      </c>
    </row>
    <row r="19" spans="1:28" ht="15" thickBot="1" x14ac:dyDescent="0.35">
      <c r="A19" s="23" t="s">
        <v>1338</v>
      </c>
      <c r="B19" t="s">
        <v>1339</v>
      </c>
      <c r="C19" s="24" t="str" cm="1">
        <f t="array" ref="C19">GetCoordinatesBingSimple(B19)</f>
        <v>48.1907,11.602354</v>
      </c>
      <c r="D19" s="4" t="s">
        <v>23</v>
      </c>
      <c r="G19" s="23" t="s">
        <v>1348</v>
      </c>
      <c r="H19" t="s">
        <v>1351</v>
      </c>
      <c r="I19" t="str" cm="1">
        <f t="array" ref="I19">GetCoordinatesBingSimple(H19)</f>
        <v>45.0614838,7.6558859</v>
      </c>
      <c r="J19" s="23" t="s">
        <v>1361</v>
      </c>
      <c r="K19" t="s">
        <v>1362</v>
      </c>
      <c r="L19" t="str" cm="1">
        <f t="array" ref="L19">GetCoordinatesBingSimple(K19)</f>
        <v>51.88816272,4.31349677</v>
      </c>
      <c r="M19" s="23" t="s">
        <v>1325</v>
      </c>
      <c r="O19" t="str" cm="1">
        <f t="array" ref="O19">GetCoordinatesBingSimple(M19)</f>
        <v>40.5548335,-3.6106255</v>
      </c>
      <c r="P19" s="23" t="s">
        <v>1366</v>
      </c>
      <c r="Q19" t="s">
        <v>1369</v>
      </c>
      <c r="R19" s="24" t="str" cm="1">
        <f t="array" ref="R19">GetCoordinatesBingSimple(Q19)</f>
        <v>47.5574566,7.546993</v>
      </c>
      <c r="S19" t="s">
        <v>1375</v>
      </c>
      <c r="T19" t="s">
        <v>1378</v>
      </c>
      <c r="U19" s="24" t="str" cm="1">
        <f t="array" ref="U19">GetCoordinatesBingSimple(T19)</f>
        <v>50.8460776,0.5103669</v>
      </c>
      <c r="V19" s="25" t="s">
        <v>1381</v>
      </c>
      <c r="W19" s="26" t="s">
        <v>1384</v>
      </c>
      <c r="X19" s="27" t="str" cm="1">
        <f t="array" ref="X19">GetCoordinatesBingSimple(W19)</f>
        <v>38.41872406,27.12960052</v>
      </c>
      <c r="Y19" t="s">
        <v>23</v>
      </c>
    </row>
    <row r="20" spans="1:28" x14ac:dyDescent="0.3">
      <c r="A20" s="23" t="s">
        <v>1340</v>
      </c>
      <c r="B20" t="s">
        <v>1341</v>
      </c>
      <c r="C20" s="24" t="str" cm="1">
        <f t="array" ref="C20">GetCoordinatesBingSimple(B20)</f>
        <v>50.194322,8.658019</v>
      </c>
      <c r="D20" s="4" t="s">
        <v>23</v>
      </c>
      <c r="G20" s="23" t="s">
        <v>1349</v>
      </c>
      <c r="H20" t="s">
        <v>1352</v>
      </c>
      <c r="I20" t="str" cm="1">
        <f t="array" ref="I20">GetCoordinatesBingSimple(H20)</f>
        <v>40.8307078,14.2448162</v>
      </c>
      <c r="J20" s="23" t="s">
        <v>1363</v>
      </c>
      <c r="K20" t="s">
        <v>1364</v>
      </c>
      <c r="L20" t="str" cm="1">
        <f t="array" ref="L20">GetCoordinatesBingSimple(K20)</f>
        <v>52.0078269,5.573232</v>
      </c>
      <c r="M20" s="23" t="s">
        <v>1326</v>
      </c>
      <c r="O20" t="str" cm="1">
        <f t="array" ref="O20">GetCoordinatesBingSimple(M20)</f>
        <v>41.1319232,1.2173234</v>
      </c>
      <c r="P20" s="23" t="s">
        <v>1370</v>
      </c>
      <c r="Q20" t="s">
        <v>1371</v>
      </c>
      <c r="R20" s="24" t="str" cm="1">
        <f t="array" ref="R20">GetCoordinatesBingSimple(Q20)</f>
        <v>47.0238171,8.2998817</v>
      </c>
      <c r="S20" t="s">
        <v>1375</v>
      </c>
      <c r="T20" t="s">
        <v>1380</v>
      </c>
      <c r="U20" s="24" t="str" cm="1">
        <f t="array" ref="U20">GetCoordinatesBingSimple(T20)</f>
        <v>51.4821513,-0.0572039</v>
      </c>
      <c r="V20" t="s">
        <v>23</v>
      </c>
    </row>
    <row r="21" spans="1:28" ht="15" thickBot="1" x14ac:dyDescent="0.35">
      <c r="A21" s="23" t="s">
        <v>1338</v>
      </c>
      <c r="B21" t="s">
        <v>1342</v>
      </c>
      <c r="C21" s="24" t="str" cm="1">
        <f t="array" ref="C21">GetCoordinatesBingSimple(B21)</f>
        <v>48.698479,9.16442</v>
      </c>
      <c r="D21" s="4" t="s">
        <v>23</v>
      </c>
      <c r="G21" s="23" t="s">
        <v>1353</v>
      </c>
      <c r="H21" t="s">
        <v>1354</v>
      </c>
      <c r="I21" t="str" cm="1">
        <f t="array" ref="I21">GetCoordinatesBingSimple(H21)</f>
        <v>43.7891605,11.2236575</v>
      </c>
      <c r="J21" s="25" t="s">
        <v>1359</v>
      </c>
      <c r="K21" s="26" t="s">
        <v>1365</v>
      </c>
      <c r="L21" s="26" t="str" cm="1">
        <f t="array" ref="L21">GetCoordinatesBingSimple(K21)</f>
        <v>52.2485602,4.6510238</v>
      </c>
      <c r="M21" s="23" t="s">
        <v>1327</v>
      </c>
      <c r="O21" t="str" cm="1">
        <f t="array" ref="O21">GetCoordinatesBingSimple(M21)</f>
        <v>40.446846,-3.65652</v>
      </c>
      <c r="P21" s="23" t="s">
        <v>1372</v>
      </c>
      <c r="Q21" t="s">
        <v>1373</v>
      </c>
      <c r="R21" s="24" t="str" cm="1">
        <f t="array" ref="R21">GetCoordinatesBingSimple(Q21)</f>
        <v>46.03527173,8.93067657</v>
      </c>
      <c r="S21" s="26" t="s">
        <v>1375</v>
      </c>
      <c r="T21" s="26" t="s">
        <v>1379</v>
      </c>
      <c r="U21" s="27" t="str" cm="1">
        <f t="array" ref="U21">GetCoordinatesBingSimple(T21)</f>
        <v>52.57094062,-2.02030185</v>
      </c>
      <c r="V21" t="s">
        <v>23</v>
      </c>
    </row>
    <row r="22" spans="1:28" ht="15" thickBot="1" x14ac:dyDescent="0.35">
      <c r="A22" s="23" t="s">
        <v>1343</v>
      </c>
      <c r="B22" t="s">
        <v>1344</v>
      </c>
      <c r="C22" s="24" t="str" cm="1">
        <f t="array" ref="C22">GetCoordinatesBingSimple(B22)</f>
        <v>51.16430744,6.83281695</v>
      </c>
      <c r="D22" s="4" t="s">
        <v>23</v>
      </c>
      <c r="G22" s="25" t="s">
        <v>1355</v>
      </c>
      <c r="H22" s="26" t="s">
        <v>1356</v>
      </c>
      <c r="I22" s="27" t="str" cm="1">
        <f t="array" ref="I22">GetCoordinatesBingSimple(H22)</f>
        <v>45.4721287,12.2539791</v>
      </c>
      <c r="J22" s="23" t="s">
        <v>23</v>
      </c>
      <c r="M22" s="23" t="s">
        <v>1328</v>
      </c>
      <c r="O22" t="str" cm="1">
        <f t="array" ref="O22">GetCoordinatesBingSimple(M22)</f>
        <v>36.6933078,-4.4787407</v>
      </c>
      <c r="P22" s="23" t="s">
        <v>1370</v>
      </c>
      <c r="Q22" t="s">
        <v>1374</v>
      </c>
      <c r="R22" s="24" t="str" cm="1">
        <f t="array" ref="R22">GetCoordinatesBingSimple(Q22)</f>
        <v>47.17686153,7.36224212</v>
      </c>
      <c r="S22" t="s">
        <v>23</v>
      </c>
    </row>
    <row r="23" spans="1:28" ht="15" thickBot="1" x14ac:dyDescent="0.35">
      <c r="A23" s="23" t="s">
        <v>1343</v>
      </c>
      <c r="B23" t="s">
        <v>1345</v>
      </c>
      <c r="C23" s="24" t="str" cm="1">
        <f t="array" ref="C23">GetCoordinatesBingSimple(B23)</f>
        <v>50.987503,6.883296</v>
      </c>
      <c r="D23" s="4" t="s">
        <v>23</v>
      </c>
      <c r="M23" s="23" t="s">
        <v>1329</v>
      </c>
      <c r="O23" t="str" cm="1">
        <f t="array" ref="O23">GetCoordinatesBingSimple(M23)</f>
        <v>41.67466,-0.949869</v>
      </c>
      <c r="P23" s="25" t="s">
        <v>1370</v>
      </c>
      <c r="Q23" s="26" t="s">
        <v>1407</v>
      </c>
      <c r="R23" s="27" t="str" cm="1">
        <f t="array" ref="R23">GetCoordinatesBingSimple(Q23)</f>
        <v>47.09141681,7.56860829</v>
      </c>
      <c r="S23" t="s">
        <v>23</v>
      </c>
    </row>
    <row r="24" spans="1:28" ht="15" thickBot="1" x14ac:dyDescent="0.35">
      <c r="A24" s="25" t="s">
        <v>1340</v>
      </c>
      <c r="B24" s="26" t="s">
        <v>1346</v>
      </c>
      <c r="C24" s="27" t="str" cm="1">
        <f t="array" ref="C24">GetCoordinatesBingSimple(B24)</f>
        <v>51.502553,7.451379</v>
      </c>
      <c r="D24" s="4" t="s">
        <v>23</v>
      </c>
      <c r="M24" s="23" t="s">
        <v>1330</v>
      </c>
      <c r="O24" s="24" t="str" cm="1">
        <f t="array" ref="O24">GetCoordinatesBingSimple(M24)</f>
        <v>43.23717499,-2.88720536</v>
      </c>
      <c r="P24" t="s">
        <v>23</v>
      </c>
    </row>
    <row r="25" spans="1:28" ht="15" thickBot="1" x14ac:dyDescent="0.35">
      <c r="M25" s="23" t="s">
        <v>1331</v>
      </c>
      <c r="O25" s="24" t="str" cm="1">
        <f t="array" ref="O25">GetCoordinatesBingSimple(M25)</f>
        <v>39.4754803,-0.3909538</v>
      </c>
      <c r="P25" t="s">
        <v>23</v>
      </c>
    </row>
    <row r="26" spans="1:28" x14ac:dyDescent="0.3">
      <c r="A26" s="20" t="s">
        <v>1456</v>
      </c>
      <c r="B26" s="21" t="s">
        <v>1457</v>
      </c>
      <c r="C26" s="21" t="str" cm="1">
        <f t="array" ref="C26">GetCoordinatesBingSimple(B26)</f>
        <v>52.421392,13.517596</v>
      </c>
      <c r="D26" s="20" t="s">
        <v>1466</v>
      </c>
      <c r="E26" s="21" t="s">
        <v>1471</v>
      </c>
      <c r="F26" s="22" t="str" cm="1">
        <f t="array" ref="F26">GetCoordinatesBingSimple(E26)</f>
        <v>48.73855195,2.33732725</v>
      </c>
      <c r="M26" s="23" t="s">
        <v>1332</v>
      </c>
      <c r="O26" s="24" t="str" cm="1">
        <f t="array" ref="O26">GetCoordinatesBingSimple(M26)</f>
        <v>41.3925612,2.0361786</v>
      </c>
      <c r="P26" t="s">
        <v>23</v>
      </c>
    </row>
    <row r="27" spans="1:28" ht="15" thickBot="1" x14ac:dyDescent="0.35">
      <c r="A27" s="51" t="s">
        <v>1458</v>
      </c>
      <c r="B27" s="52" t="s">
        <v>1459</v>
      </c>
      <c r="C27" s="52" t="str" cm="1">
        <f t="array" ref="C27">GetCoordinatesBingSimple(B27)</f>
        <v>51.09198761,10.38080788</v>
      </c>
      <c r="D27" s="23" t="s">
        <v>1467</v>
      </c>
      <c r="E27" s="52" t="s">
        <v>1469</v>
      </c>
      <c r="F27" s="24" t="str" cm="1">
        <f t="array" ref="F27">GetCoordinatesBingSimple(E27)</f>
        <v>44.76565303,-0.71774254</v>
      </c>
      <c r="M27" s="25" t="s">
        <v>1402</v>
      </c>
      <c r="N27" s="26"/>
      <c r="O27" s="27" t="str" cm="1">
        <f t="array" ref="O27">GetCoordinatesBingSimple(M27)</f>
        <v>39.5521571,2.6124608</v>
      </c>
      <c r="P27" t="s">
        <v>23</v>
      </c>
    </row>
    <row r="28" spans="1:28" ht="15" thickBot="1" x14ac:dyDescent="0.35">
      <c r="A28" s="23" t="s">
        <v>1460</v>
      </c>
      <c r="B28" s="52" t="s">
        <v>1461</v>
      </c>
      <c r="C28" s="52" t="str" cm="1">
        <f t="array" ref="C28">GetCoordinatesBingSimple(B28)</f>
        <v>51.295965,6.859632</v>
      </c>
      <c r="D28" s="25" t="s">
        <v>1468</v>
      </c>
      <c r="E28" s="26" t="s">
        <v>1470</v>
      </c>
      <c r="F28" s="27" t="str" cm="1">
        <f t="array" ref="F28">GetCoordinatesBingSimple(E28)</f>
        <v>43.55681688,6.9527651</v>
      </c>
    </row>
    <row r="29" spans="1:28" ht="15" thickBot="1" x14ac:dyDescent="0.35">
      <c r="A29" s="23" t="s">
        <v>1462</v>
      </c>
      <c r="B29" s="52" t="s">
        <v>1463</v>
      </c>
      <c r="C29" s="24" t="str" cm="1">
        <f t="array" ref="C29">GetCoordinatesBingSimple(B29)</f>
        <v>53.66077687,10.00526518</v>
      </c>
      <c r="D29" s="50" t="s">
        <v>23</v>
      </c>
      <c r="F29" s="24"/>
    </row>
    <row r="30" spans="1:28" ht="15" thickBot="1" x14ac:dyDescent="0.35">
      <c r="A30" s="25" t="s">
        <v>1464</v>
      </c>
      <c r="B30" s="26" t="s">
        <v>1465</v>
      </c>
      <c r="C30" s="27" t="str" cm="1">
        <f t="array" ref="C30">GetCoordinatesBingSimple(B30)</f>
        <v>50.0554511,8.9001619</v>
      </c>
      <c r="D30" s="50" t="s">
        <v>23</v>
      </c>
      <c r="F30" s="22"/>
    </row>
  </sheetData>
  <mergeCells count="1">
    <mergeCell ref="A16:AA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BBE5D-CEA8-4412-A3D2-A577143C3BFF}">
  <sheetPr codeName="Feuil2"/>
  <dimension ref="A1:BA50"/>
  <sheetViews>
    <sheetView tabSelected="1" topLeftCell="AD19" zoomScale="74" zoomScaleNormal="95" workbookViewId="0">
      <selection activeCell="AO38" sqref="AO38:AQ40"/>
    </sheetView>
  </sheetViews>
  <sheetFormatPr baseColWidth="10" defaultRowHeight="14.4" x14ac:dyDescent="0.3"/>
  <cols>
    <col min="1" max="1" width="25" bestFit="1" customWidth="1"/>
    <col min="2" max="2" width="64.33203125" bestFit="1" customWidth="1"/>
    <col min="4" max="4" width="19.21875" customWidth="1"/>
    <col min="5" max="5" width="78" customWidth="1"/>
    <col min="6" max="6" width="16.5546875" customWidth="1"/>
    <col min="15" max="15" width="13.21875" customWidth="1"/>
  </cols>
  <sheetData>
    <row r="1" spans="1:53" x14ac:dyDescent="0.3">
      <c r="E1" s="13" t="s">
        <v>171</v>
      </c>
      <c r="F1" s="14" t="s">
        <v>172</v>
      </c>
      <c r="G1" s="14" t="s">
        <v>173</v>
      </c>
      <c r="H1" s="14" t="s">
        <v>174</v>
      </c>
      <c r="I1" s="14" t="s">
        <v>175</v>
      </c>
      <c r="J1" s="14" t="s">
        <v>176</v>
      </c>
      <c r="K1" s="14" t="s">
        <v>177</v>
      </c>
      <c r="L1" s="14" t="s">
        <v>178</v>
      </c>
      <c r="M1" s="15" t="s">
        <v>179</v>
      </c>
      <c r="N1" s="16" t="s">
        <v>180</v>
      </c>
      <c r="O1" s="16" t="s">
        <v>181</v>
      </c>
      <c r="P1" s="9" t="s">
        <v>182</v>
      </c>
      <c r="Q1" s="9" t="s">
        <v>183</v>
      </c>
      <c r="R1" s="9" t="s">
        <v>184</v>
      </c>
      <c r="S1" s="9" t="s">
        <v>185</v>
      </c>
      <c r="T1" s="9" t="s">
        <v>186</v>
      </c>
      <c r="U1" s="9" t="s">
        <v>187</v>
      </c>
      <c r="V1" s="9" t="s">
        <v>188</v>
      </c>
      <c r="W1" s="9" t="s">
        <v>189</v>
      </c>
      <c r="X1" s="9" t="s">
        <v>190</v>
      </c>
      <c r="Y1" s="9" t="s">
        <v>191</v>
      </c>
      <c r="Z1" s="9" t="s">
        <v>192</v>
      </c>
      <c r="AA1" s="9" t="s">
        <v>193</v>
      </c>
      <c r="AB1" s="9" t="s">
        <v>284</v>
      </c>
      <c r="AC1" s="9" t="s">
        <v>285</v>
      </c>
      <c r="AD1" s="9" t="s">
        <v>286</v>
      </c>
      <c r="AE1" s="9" t="s">
        <v>287</v>
      </c>
      <c r="AF1" s="9" t="s">
        <v>288</v>
      </c>
      <c r="AG1" s="9" t="s">
        <v>289</v>
      </c>
      <c r="AH1" s="9" t="s">
        <v>290</v>
      </c>
      <c r="AI1" s="9" t="s">
        <v>291</v>
      </c>
      <c r="AJ1" s="9" t="s">
        <v>292</v>
      </c>
      <c r="AK1" s="9" t="s">
        <v>293</v>
      </c>
      <c r="AL1" s="9" t="s">
        <v>294</v>
      </c>
      <c r="AM1" s="9" t="s">
        <v>295</v>
      </c>
      <c r="AN1" s="9" t="s">
        <v>296</v>
      </c>
      <c r="AO1" s="9" t="s">
        <v>297</v>
      </c>
      <c r="AP1" s="9" t="s">
        <v>298</v>
      </c>
      <c r="AQ1" s="9" t="s">
        <v>299</v>
      </c>
      <c r="AR1" s="9" t="s">
        <v>300</v>
      </c>
      <c r="AS1" s="9" t="s">
        <v>301</v>
      </c>
      <c r="AT1" s="9" t="s">
        <v>302</v>
      </c>
      <c r="AU1" s="9" t="s">
        <v>303</v>
      </c>
      <c r="AV1" s="9" t="s">
        <v>304</v>
      </c>
      <c r="AW1" s="9" t="s">
        <v>305</v>
      </c>
      <c r="AX1" s="9" t="s">
        <v>306</v>
      </c>
    </row>
    <row r="2" spans="1:53" x14ac:dyDescent="0.3">
      <c r="E2" s="6" t="s">
        <v>23</v>
      </c>
      <c r="F2" s="5" t="str" cm="1">
        <f t="array" ref="F2:AN2">TRANSPOSE(E3:E37)</f>
        <v>44.84338091,-0.578742818</v>
      </c>
      <c r="G2" s="5" t="str">
        <v>48.4965477,7.47151136</v>
      </c>
      <c r="H2" s="5" t="str">
        <v>47.20677633,2.09185674</v>
      </c>
      <c r="I2" s="5" t="str">
        <v>46.790448,1.659128</v>
      </c>
      <c r="J2" s="5" t="str">
        <v>47.42440545,1.56190228</v>
      </c>
      <c r="K2" s="5" t="str">
        <v>48.462487,-2.79772285</v>
      </c>
      <c r="L2" s="5" t="str">
        <v>48.426807,1.4550068</v>
      </c>
      <c r="M2" s="5" t="str">
        <v>47.08262253,2.39758945</v>
      </c>
      <c r="N2" s="5" t="str">
        <v>47.4571923,-0.4897532</v>
      </c>
      <c r="O2" s="5" t="str">
        <v>47.88376236,1.77226174</v>
      </c>
      <c r="P2" s="5" t="str">
        <v>47.7924983,-3.2608006</v>
      </c>
      <c r="Q2" s="5" t="str">
        <v>48.1096308,-1.7307103</v>
      </c>
      <c r="R2" s="5" t="str">
        <v>43.2843259,5.4919834</v>
      </c>
      <c r="S2" s="5" t="str">
        <v>43.34134796,5.36519012</v>
      </c>
      <c r="T2" s="5" t="str">
        <v>48.7803347,2.4853644</v>
      </c>
      <c r="U2" s="5" t="str">
        <v>47.92065376,1.94594148</v>
      </c>
      <c r="V2" s="5" t="str">
        <v>47.307917,-2.184104</v>
      </c>
      <c r="W2" s="5" t="str">
        <v>44.79375315,-0.528639</v>
      </c>
      <c r="X2" s="5" t="str">
        <v>44.8553124,0.5205022</v>
      </c>
      <c r="Y2" s="5" t="str">
        <v>44.17353792,0.66504939</v>
      </c>
      <c r="Z2" s="5" t="str">
        <v>43.21031262,5.59769526</v>
      </c>
      <c r="AA2" s="5" t="str">
        <v>44.94351,-0.23809</v>
      </c>
      <c r="AB2" s="5" t="str">
        <v>43.3091434,-0.4285509</v>
      </c>
      <c r="AC2" s="5" t="str">
        <v>43.6380172,1.4199162</v>
      </c>
      <c r="AD2" s="5" t="str">
        <v>48.42402,-4.4396867</v>
      </c>
      <c r="AE2" s="5" t="str">
        <v>49.93540895,2.2756999</v>
      </c>
      <c r="AF2" s="5" t="str">
        <v>47.20872384,-1.70845162</v>
      </c>
      <c r="AG2" s="5" t="str">
        <v>45.78963045,5.94888878</v>
      </c>
      <c r="AH2" s="5" t="str">
        <v>45.81122,3.1507292</v>
      </c>
      <c r="AI2" s="5" t="str">
        <v>45.4732606,4.3853728</v>
      </c>
      <c r="AJ2" s="5" t="str">
        <v>45.289564,5.623439</v>
      </c>
      <c r="AK2" s="5" t="str">
        <v>49.24980545,4.21617508</v>
      </c>
      <c r="AL2" s="5" t="str">
        <v>46.78438568,4.85289383</v>
      </c>
      <c r="AM2" s="5" t="str">
        <v>47.5108765,6.8555502</v>
      </c>
      <c r="AN2" s="5" t="str">
        <v>46.99939474,3.18623102</v>
      </c>
      <c r="AO2" t="s">
        <v>1472</v>
      </c>
      <c r="AP2" t="s">
        <v>1507</v>
      </c>
      <c r="AQ2" t="s">
        <v>1508</v>
      </c>
      <c r="AR2" s="5"/>
      <c r="AS2" s="5"/>
      <c r="AT2" s="5"/>
      <c r="AU2" s="5"/>
      <c r="AV2" s="5"/>
      <c r="AW2" s="5"/>
      <c r="AX2" s="5"/>
      <c r="AY2" s="5"/>
      <c r="AZ2" t="s">
        <v>1507</v>
      </c>
      <c r="BA2" t="s">
        <v>1508</v>
      </c>
    </row>
    <row r="3" spans="1:53" x14ac:dyDescent="0.3">
      <c r="D3" s="49" t="s">
        <v>168</v>
      </c>
      <c r="E3" s="33" t="s">
        <v>278</v>
      </c>
      <c r="F3" s="5">
        <v>0</v>
      </c>
      <c r="G3" s="5">
        <v>927.45299999999997</v>
      </c>
      <c r="H3" s="5">
        <v>401.24200000000002</v>
      </c>
      <c r="I3" s="5">
        <v>336.53500000000003</v>
      </c>
      <c r="J3" s="5">
        <v>419.029</v>
      </c>
      <c r="K3" s="5">
        <v>559.16399999999999</v>
      </c>
      <c r="L3" s="5">
        <v>546.35199999999998</v>
      </c>
      <c r="M3" s="5">
        <v>486.56400000000002</v>
      </c>
      <c r="N3" s="5">
        <v>395.86</v>
      </c>
      <c r="O3" s="5">
        <v>451.96</v>
      </c>
      <c r="P3" s="5">
        <v>507.25799999999998</v>
      </c>
      <c r="Q3" s="5">
        <v>462.15899999999999</v>
      </c>
      <c r="R3" s="5">
        <v>657.57500000000005</v>
      </c>
      <c r="S3" s="5">
        <v>643.12300000000005</v>
      </c>
      <c r="T3" s="5">
        <v>585.75300000000004</v>
      </c>
      <c r="U3" s="5">
        <v>470.64600000000002</v>
      </c>
      <c r="V3" s="5">
        <v>407.64699999999999</v>
      </c>
      <c r="W3" s="5">
        <v>7.7990000000000004</v>
      </c>
      <c r="X3" s="5">
        <v>121.128</v>
      </c>
      <c r="Y3" s="5">
        <v>141.77799999999999</v>
      </c>
      <c r="Z3" s="5">
        <v>678.76400000000001</v>
      </c>
      <c r="AA3" s="5">
        <v>46.375999999999998</v>
      </c>
      <c r="AB3" s="5">
        <v>214.75</v>
      </c>
      <c r="AC3" s="5">
        <v>238.249</v>
      </c>
      <c r="AD3" s="5">
        <v>642.55499999999995</v>
      </c>
      <c r="AE3" s="5">
        <v>732.75300000000004</v>
      </c>
      <c r="AF3" s="5">
        <v>360.702</v>
      </c>
      <c r="AG3" s="5">
        <v>677.42200000000003</v>
      </c>
      <c r="AH3" s="5">
        <v>397.78500000000003</v>
      </c>
      <c r="AI3" s="5">
        <v>531.67600000000004</v>
      </c>
      <c r="AJ3" s="5">
        <v>650.423</v>
      </c>
      <c r="AK3" s="5">
        <v>735.87300000000005</v>
      </c>
      <c r="AL3" s="5">
        <v>579.99699999999996</v>
      </c>
      <c r="AM3" s="5">
        <v>782.08</v>
      </c>
      <c r="AN3" s="5">
        <v>536.63599999999997</v>
      </c>
      <c r="AP3" s="5"/>
      <c r="AQ3" s="5"/>
      <c r="AR3" s="5"/>
      <c r="AS3" s="5"/>
      <c r="AT3" s="5"/>
      <c r="AU3" s="5"/>
      <c r="AV3" s="5"/>
      <c r="AW3" s="5"/>
      <c r="AX3" s="5"/>
    </row>
    <row r="4" spans="1:53" x14ac:dyDescent="0.3">
      <c r="A4" s="5" t="s">
        <v>24</v>
      </c>
      <c r="B4" s="7" t="s">
        <v>166</v>
      </c>
      <c r="D4" s="49"/>
      <c r="E4" s="5" t="s">
        <v>1473</v>
      </c>
      <c r="F4" s="5">
        <v>925.95100000000002</v>
      </c>
      <c r="G4" s="5">
        <v>0</v>
      </c>
      <c r="H4" s="5">
        <v>692.27099999999996</v>
      </c>
      <c r="I4" s="5">
        <v>660.21</v>
      </c>
      <c r="J4" s="5">
        <v>683.76499999999999</v>
      </c>
      <c r="K4" s="5">
        <v>951.15499999999997</v>
      </c>
      <c r="L4" s="5">
        <v>598.44799999999998</v>
      </c>
      <c r="M4" s="5">
        <v>560.64599999999996</v>
      </c>
      <c r="N4" s="5">
        <v>799.20399999999995</v>
      </c>
      <c r="O4" s="5">
        <v>612.84500000000003</v>
      </c>
      <c r="P4" s="5">
        <v>989.71500000000003</v>
      </c>
      <c r="Q4" s="5">
        <v>854.779</v>
      </c>
      <c r="R4" s="5">
        <v>792.44899999999996</v>
      </c>
      <c r="S4" s="5">
        <v>777.96</v>
      </c>
      <c r="T4" s="5">
        <v>511.46800000000002</v>
      </c>
      <c r="U4" s="5">
        <v>608.43200000000002</v>
      </c>
      <c r="V4" s="5">
        <v>933.54700000000003</v>
      </c>
      <c r="W4" s="5">
        <v>922.95500000000004</v>
      </c>
      <c r="X4" s="5">
        <v>836.79600000000005</v>
      </c>
      <c r="Y4" s="5">
        <v>961.03200000000004</v>
      </c>
      <c r="Z4" s="5">
        <v>813.56500000000005</v>
      </c>
      <c r="AA4" s="5">
        <v>885.77300000000002</v>
      </c>
      <c r="AB4" s="5">
        <v>1126.1179999999999</v>
      </c>
      <c r="AC4" s="5">
        <v>921.45699999999999</v>
      </c>
      <c r="AD4" s="5">
        <v>1085.903</v>
      </c>
      <c r="AE4" s="5">
        <v>545.12</v>
      </c>
      <c r="AF4" s="5">
        <v>896.67399999999998</v>
      </c>
      <c r="AG4" s="5">
        <v>427.31299999999999</v>
      </c>
      <c r="AH4" s="5">
        <v>607.95899999999995</v>
      </c>
      <c r="AI4" s="5">
        <v>531.78399999999999</v>
      </c>
      <c r="AJ4" s="5">
        <v>542.30799999999999</v>
      </c>
      <c r="AK4" s="5">
        <v>378.49200000000002</v>
      </c>
      <c r="AL4" s="5">
        <v>348.51499999999999</v>
      </c>
      <c r="AM4" s="5">
        <v>148.01499999999999</v>
      </c>
      <c r="AN4" s="5">
        <v>473.38499999999999</v>
      </c>
      <c r="AP4" s="5"/>
      <c r="AQ4" s="5"/>
      <c r="AR4" s="5"/>
      <c r="AS4" s="5"/>
      <c r="AT4" s="5"/>
      <c r="AU4" s="5"/>
      <c r="AV4" s="5"/>
      <c r="AW4" s="5"/>
      <c r="AX4" s="5"/>
    </row>
    <row r="5" spans="1:53" x14ac:dyDescent="0.3">
      <c r="A5" s="5" t="s">
        <v>25</v>
      </c>
      <c r="B5" s="18" t="s">
        <v>1388</v>
      </c>
      <c r="D5" s="49"/>
      <c r="E5" s="5" t="s">
        <v>1474</v>
      </c>
      <c r="F5" s="5">
        <v>400.86399999999998</v>
      </c>
      <c r="G5" s="5">
        <v>715.78899999999999</v>
      </c>
      <c r="H5" s="5">
        <v>0</v>
      </c>
      <c r="I5" s="5">
        <v>71.504000000000005</v>
      </c>
      <c r="J5" s="5">
        <v>58.807000000000002</v>
      </c>
      <c r="K5" s="5">
        <v>484.56400000000002</v>
      </c>
      <c r="L5" s="5">
        <v>166.136</v>
      </c>
      <c r="M5" s="5">
        <v>37.884</v>
      </c>
      <c r="N5" s="5">
        <v>243.87899999999999</v>
      </c>
      <c r="O5" s="5">
        <v>96.325999999999993</v>
      </c>
      <c r="P5" s="5">
        <v>478.73399999999998</v>
      </c>
      <c r="Q5" s="5">
        <v>388.18799999999999</v>
      </c>
      <c r="R5" s="5">
        <v>683.40599999999995</v>
      </c>
      <c r="S5" s="5">
        <v>668.91700000000003</v>
      </c>
      <c r="T5" s="5">
        <v>219.63499999999999</v>
      </c>
      <c r="U5" s="5">
        <v>104.078</v>
      </c>
      <c r="V5" s="5">
        <v>378.22199999999998</v>
      </c>
      <c r="W5" s="5">
        <v>402.98200000000003</v>
      </c>
      <c r="X5" s="5">
        <v>378.17500000000001</v>
      </c>
      <c r="Y5" s="5">
        <v>502.411</v>
      </c>
      <c r="Z5" s="5">
        <v>704.52200000000005</v>
      </c>
      <c r="AA5" s="5">
        <v>427.15199999999999</v>
      </c>
      <c r="AB5" s="5">
        <v>606.14499999999998</v>
      </c>
      <c r="AC5" s="5">
        <v>462.83600000000001</v>
      </c>
      <c r="AD5" s="5">
        <v>614.04200000000003</v>
      </c>
      <c r="AE5" s="5">
        <v>365.45</v>
      </c>
      <c r="AF5" s="5">
        <v>341.34899999999999</v>
      </c>
      <c r="AG5" s="5">
        <v>482.38</v>
      </c>
      <c r="AH5" s="5">
        <v>205.64699999999999</v>
      </c>
      <c r="AI5" s="5">
        <v>338.19499999999999</v>
      </c>
      <c r="AJ5" s="5">
        <v>457.41199999999998</v>
      </c>
      <c r="AK5" s="5">
        <v>369.44900000000001</v>
      </c>
      <c r="AL5" s="5">
        <v>314.43799999999999</v>
      </c>
      <c r="AM5" s="5">
        <v>570.029</v>
      </c>
      <c r="AN5" s="5">
        <v>116.74299999999999</v>
      </c>
      <c r="AO5" s="5"/>
      <c r="AP5" s="5"/>
      <c r="AQ5" s="5"/>
      <c r="AR5" s="5"/>
      <c r="AS5" s="5"/>
      <c r="AT5" s="5"/>
      <c r="AU5" s="5"/>
      <c r="AV5" s="5"/>
      <c r="AW5" s="5"/>
      <c r="AX5" s="5"/>
    </row>
    <row r="6" spans="1:53" x14ac:dyDescent="0.3">
      <c r="D6" s="49"/>
      <c r="E6" s="5" t="s">
        <v>1475</v>
      </c>
      <c r="F6" s="5">
        <v>336.178</v>
      </c>
      <c r="G6" s="5">
        <v>662.11</v>
      </c>
      <c r="H6" s="5">
        <v>72.150000000000006</v>
      </c>
      <c r="I6" s="5">
        <v>0</v>
      </c>
      <c r="J6" s="5">
        <v>121.49299999999999</v>
      </c>
      <c r="K6" s="5">
        <v>547.25</v>
      </c>
      <c r="L6" s="5">
        <v>228.822</v>
      </c>
      <c r="M6" s="5">
        <v>112.711</v>
      </c>
      <c r="N6" s="5">
        <v>306.565</v>
      </c>
      <c r="O6" s="5">
        <v>159.012</v>
      </c>
      <c r="P6" s="5">
        <v>541.41999999999996</v>
      </c>
      <c r="Q6" s="5">
        <v>450.87400000000002</v>
      </c>
      <c r="R6" s="5">
        <v>681.81899999999996</v>
      </c>
      <c r="S6" s="5">
        <v>667.33</v>
      </c>
      <c r="T6" s="5">
        <v>282.32100000000003</v>
      </c>
      <c r="U6" s="5">
        <v>166.76400000000001</v>
      </c>
      <c r="V6" s="5">
        <v>440.90800000000002</v>
      </c>
      <c r="W6" s="5">
        <v>338.27499999999998</v>
      </c>
      <c r="X6" s="5">
        <v>313.46800000000002</v>
      </c>
      <c r="Y6" s="5">
        <v>437.70400000000001</v>
      </c>
      <c r="Z6" s="5">
        <v>702.93499999999995</v>
      </c>
      <c r="AA6" s="5">
        <v>362.44499999999999</v>
      </c>
      <c r="AB6" s="5">
        <v>541.43799999999999</v>
      </c>
      <c r="AC6" s="5">
        <v>398.12900000000002</v>
      </c>
      <c r="AD6" s="5">
        <v>676.72799999999995</v>
      </c>
      <c r="AE6" s="5">
        <v>428.13600000000002</v>
      </c>
      <c r="AF6" s="5">
        <v>404.03500000000003</v>
      </c>
      <c r="AG6" s="5">
        <v>480.79300000000001</v>
      </c>
      <c r="AH6" s="5">
        <v>204.06</v>
      </c>
      <c r="AI6" s="5">
        <v>336.608</v>
      </c>
      <c r="AJ6" s="5">
        <v>455.82499999999999</v>
      </c>
      <c r="AK6" s="5">
        <v>432.13499999999999</v>
      </c>
      <c r="AL6" s="5">
        <v>312.851</v>
      </c>
      <c r="AM6" s="5">
        <v>516.35</v>
      </c>
      <c r="AN6" s="5">
        <v>191.57</v>
      </c>
      <c r="AO6" s="5"/>
      <c r="AP6" s="5"/>
      <c r="AQ6" s="5"/>
      <c r="AR6" s="5"/>
      <c r="AS6" s="5"/>
      <c r="AT6" s="5"/>
      <c r="AU6" s="5"/>
      <c r="AV6" s="5"/>
      <c r="AW6" s="5"/>
      <c r="AX6" s="5"/>
    </row>
    <row r="7" spans="1:53" x14ac:dyDescent="0.3">
      <c r="A7" s="5" t="s">
        <v>26</v>
      </c>
      <c r="B7" t="s">
        <v>270</v>
      </c>
      <c r="D7" s="49"/>
      <c r="E7" s="5" t="s">
        <v>1476</v>
      </c>
      <c r="F7" s="5">
        <v>421.91199999999998</v>
      </c>
      <c r="G7" s="5">
        <v>707.27</v>
      </c>
      <c r="H7" s="5">
        <v>58.238</v>
      </c>
      <c r="I7" s="5">
        <v>121.857</v>
      </c>
      <c r="J7" s="5">
        <v>0</v>
      </c>
      <c r="K7" s="5">
        <v>422.11599999999999</v>
      </c>
      <c r="L7" s="5">
        <v>157.61699999999999</v>
      </c>
      <c r="M7" s="5">
        <v>89.225999999999999</v>
      </c>
      <c r="N7" s="5">
        <v>206.16</v>
      </c>
      <c r="O7" s="5">
        <v>77.537999999999997</v>
      </c>
      <c r="P7" s="5">
        <v>441.01499999999999</v>
      </c>
      <c r="Q7" s="5">
        <v>325.74</v>
      </c>
      <c r="R7" s="5">
        <v>734.74800000000005</v>
      </c>
      <c r="S7" s="5">
        <v>720.25900000000001</v>
      </c>
      <c r="T7" s="5">
        <v>211.11600000000001</v>
      </c>
      <c r="U7" s="5">
        <v>95.558999999999997</v>
      </c>
      <c r="V7" s="5">
        <v>340.50299999999999</v>
      </c>
      <c r="W7" s="5">
        <v>420.76900000000001</v>
      </c>
      <c r="X7" s="5">
        <v>428.52800000000002</v>
      </c>
      <c r="Y7" s="5">
        <v>553.48699999999997</v>
      </c>
      <c r="Z7" s="5">
        <v>755.86400000000003</v>
      </c>
      <c r="AA7" s="5">
        <v>385.90100000000001</v>
      </c>
      <c r="AB7" s="5">
        <v>623.93200000000002</v>
      </c>
      <c r="AC7" s="5">
        <v>513.18899999999996</v>
      </c>
      <c r="AD7" s="5">
        <v>556.86400000000003</v>
      </c>
      <c r="AE7" s="5">
        <v>356.93099999999998</v>
      </c>
      <c r="AF7" s="5">
        <v>303.63</v>
      </c>
      <c r="AG7" s="5">
        <v>533.72199999999998</v>
      </c>
      <c r="AH7" s="5">
        <v>256.98899999999998</v>
      </c>
      <c r="AI7" s="5">
        <v>389.53699999999998</v>
      </c>
      <c r="AJ7" s="5">
        <v>508.75400000000002</v>
      </c>
      <c r="AK7" s="5">
        <v>360.93</v>
      </c>
      <c r="AL7" s="5">
        <v>417.11399999999998</v>
      </c>
      <c r="AM7" s="5">
        <v>561.51</v>
      </c>
      <c r="AN7" s="5">
        <v>168.08500000000001</v>
      </c>
      <c r="AO7" s="5"/>
      <c r="AP7" s="5"/>
      <c r="AQ7" s="5"/>
      <c r="AR7" s="5"/>
      <c r="AS7" s="5"/>
      <c r="AT7" s="5"/>
      <c r="AU7" s="5"/>
      <c r="AV7" s="5"/>
      <c r="AW7" s="5"/>
      <c r="AX7" s="5"/>
    </row>
    <row r="8" spans="1:53" x14ac:dyDescent="0.3">
      <c r="A8" s="5" t="s">
        <v>27</v>
      </c>
      <c r="B8" s="5" t="s">
        <v>1387</v>
      </c>
      <c r="D8" s="49"/>
      <c r="E8" s="5" t="s">
        <v>1477</v>
      </c>
      <c r="F8" s="5">
        <v>558.18399999999997</v>
      </c>
      <c r="G8" s="5">
        <v>951.27800000000002</v>
      </c>
      <c r="H8" s="5">
        <v>483.62599999999998</v>
      </c>
      <c r="I8" s="5">
        <v>477.221</v>
      </c>
      <c r="J8" s="5">
        <v>421.77</v>
      </c>
      <c r="K8" s="5">
        <v>0</v>
      </c>
      <c r="L8" s="5">
        <v>360.50200000000001</v>
      </c>
      <c r="M8" s="5">
        <v>514.61400000000003</v>
      </c>
      <c r="N8" s="5">
        <v>240.303</v>
      </c>
      <c r="O8" s="5">
        <v>439.12299999999999</v>
      </c>
      <c r="P8" s="5">
        <v>105.292</v>
      </c>
      <c r="Q8" s="5">
        <v>100.11199999999999</v>
      </c>
      <c r="R8" s="5">
        <v>1160.136</v>
      </c>
      <c r="S8" s="5">
        <v>1145.6469999999999</v>
      </c>
      <c r="T8" s="5">
        <v>452.178</v>
      </c>
      <c r="U8" s="5">
        <v>457.14400000000001</v>
      </c>
      <c r="V8" s="5">
        <v>195.04</v>
      </c>
      <c r="W8" s="5">
        <v>560.904</v>
      </c>
      <c r="X8" s="5">
        <v>636.77099999999996</v>
      </c>
      <c r="Y8" s="5">
        <v>693.62199999999996</v>
      </c>
      <c r="Z8" s="5">
        <v>1181.252</v>
      </c>
      <c r="AA8" s="5">
        <v>559.53399999999999</v>
      </c>
      <c r="AB8" s="5">
        <v>764.06700000000001</v>
      </c>
      <c r="AC8" s="5">
        <v>790.52499999999998</v>
      </c>
      <c r="AD8" s="5">
        <v>147.57300000000001</v>
      </c>
      <c r="AE8" s="5">
        <v>484.41899999999998</v>
      </c>
      <c r="AF8" s="5">
        <v>216.60900000000001</v>
      </c>
      <c r="AG8" s="5">
        <v>959.11</v>
      </c>
      <c r="AH8" s="5">
        <v>682.37699999999995</v>
      </c>
      <c r="AI8" s="5">
        <v>814.92499999999995</v>
      </c>
      <c r="AJ8" s="5">
        <v>934.14200000000005</v>
      </c>
      <c r="AK8" s="5">
        <v>601.99199999999996</v>
      </c>
      <c r="AL8" s="5">
        <v>745.18899999999996</v>
      </c>
      <c r="AM8" s="5">
        <v>889.58500000000004</v>
      </c>
      <c r="AN8" s="5">
        <v>593.47299999999996</v>
      </c>
      <c r="AO8" s="5"/>
      <c r="AP8" s="5"/>
      <c r="AQ8" s="5"/>
      <c r="AR8" s="5"/>
      <c r="AS8" s="5"/>
      <c r="AT8" s="5"/>
      <c r="AU8" s="5"/>
      <c r="AV8" s="5"/>
      <c r="AW8" s="5"/>
      <c r="AX8" s="5"/>
    </row>
    <row r="9" spans="1:53" x14ac:dyDescent="0.3">
      <c r="A9" s="5" t="s">
        <v>29</v>
      </c>
      <c r="B9" t="s">
        <v>167</v>
      </c>
      <c r="D9" s="49"/>
      <c r="E9" s="5" t="s">
        <v>1478</v>
      </c>
      <c r="F9" s="5">
        <v>544.50599999999997</v>
      </c>
      <c r="G9" s="5">
        <v>598.17399999999998</v>
      </c>
      <c r="H9" s="5">
        <v>166.05500000000001</v>
      </c>
      <c r="I9" s="5">
        <v>229.67400000000001</v>
      </c>
      <c r="J9" s="5">
        <v>157.54900000000001</v>
      </c>
      <c r="K9" s="5">
        <v>362.32600000000002</v>
      </c>
      <c r="L9" s="5">
        <v>0</v>
      </c>
      <c r="M9" s="5">
        <v>197.04300000000001</v>
      </c>
      <c r="N9" s="5">
        <v>210.375</v>
      </c>
      <c r="O9" s="5">
        <v>86.629000000000005</v>
      </c>
      <c r="P9" s="5">
        <v>400.88600000000002</v>
      </c>
      <c r="Q9" s="5">
        <v>265.95</v>
      </c>
      <c r="R9" s="5">
        <v>839.33500000000004</v>
      </c>
      <c r="S9" s="5">
        <v>824.846</v>
      </c>
      <c r="T9" s="5">
        <v>99.073999999999998</v>
      </c>
      <c r="U9" s="5">
        <v>82.215999999999994</v>
      </c>
      <c r="V9" s="5">
        <v>344.71800000000002</v>
      </c>
      <c r="W9" s="5">
        <v>548.09199999999998</v>
      </c>
      <c r="X9" s="5">
        <v>536.34500000000003</v>
      </c>
      <c r="Y9" s="5">
        <v>680.81</v>
      </c>
      <c r="Z9" s="5">
        <v>860.45100000000002</v>
      </c>
      <c r="AA9" s="5">
        <v>513.22400000000005</v>
      </c>
      <c r="AB9" s="5">
        <v>751.255</v>
      </c>
      <c r="AC9" s="5">
        <v>621.00599999999997</v>
      </c>
      <c r="AD9" s="5">
        <v>497.07400000000001</v>
      </c>
      <c r="AE9" s="5">
        <v>235.898</v>
      </c>
      <c r="AF9" s="5">
        <v>307.84500000000003</v>
      </c>
      <c r="AG9" s="5">
        <v>598.65700000000004</v>
      </c>
      <c r="AH9" s="5">
        <v>364.80599999999998</v>
      </c>
      <c r="AI9" s="5">
        <v>497.35399999999998</v>
      </c>
      <c r="AJ9" s="5">
        <v>614.23400000000004</v>
      </c>
      <c r="AK9" s="5">
        <v>248.88800000000001</v>
      </c>
      <c r="AL9" s="5">
        <v>392.08499999999998</v>
      </c>
      <c r="AM9" s="5">
        <v>536.48099999999999</v>
      </c>
      <c r="AN9" s="5">
        <v>264.99599999999998</v>
      </c>
      <c r="AO9" s="5"/>
      <c r="AP9" s="5"/>
      <c r="AQ9" s="5"/>
      <c r="AR9" s="5"/>
      <c r="AS9" s="5"/>
      <c r="AT9" s="5"/>
      <c r="AU9" s="5"/>
      <c r="AV9" s="5"/>
      <c r="AW9" s="5"/>
      <c r="AX9" s="5"/>
    </row>
    <row r="10" spans="1:53" x14ac:dyDescent="0.3">
      <c r="D10" s="49"/>
      <c r="E10" s="5" t="s">
        <v>1479</v>
      </c>
      <c r="F10" s="5">
        <v>487.74599999999998</v>
      </c>
      <c r="G10" s="5">
        <v>565.78599999999994</v>
      </c>
      <c r="H10" s="5">
        <v>37.520000000000003</v>
      </c>
      <c r="I10" s="5">
        <v>111.336</v>
      </c>
      <c r="J10" s="5">
        <v>88.623000000000005</v>
      </c>
      <c r="K10" s="5">
        <v>514.38</v>
      </c>
      <c r="L10" s="5">
        <v>195.952</v>
      </c>
      <c r="M10" s="5">
        <v>0</v>
      </c>
      <c r="N10" s="5">
        <v>273.69499999999999</v>
      </c>
      <c r="O10" s="5">
        <v>126.142</v>
      </c>
      <c r="P10" s="5">
        <v>508.55</v>
      </c>
      <c r="Q10" s="5">
        <v>418.00400000000002</v>
      </c>
      <c r="R10" s="5">
        <v>660.73</v>
      </c>
      <c r="S10" s="5">
        <v>646.24099999999999</v>
      </c>
      <c r="T10" s="5">
        <v>249.45099999999999</v>
      </c>
      <c r="U10" s="5">
        <v>133.89400000000001</v>
      </c>
      <c r="V10" s="5">
        <v>408.03800000000001</v>
      </c>
      <c r="W10" s="5">
        <v>488.30399999999997</v>
      </c>
      <c r="X10" s="5">
        <v>418.00700000000001</v>
      </c>
      <c r="Y10" s="5">
        <v>542.24300000000005</v>
      </c>
      <c r="Z10" s="5">
        <v>681.846</v>
      </c>
      <c r="AA10" s="5">
        <v>466.98399999999998</v>
      </c>
      <c r="AB10" s="5">
        <v>691.46699999999998</v>
      </c>
      <c r="AC10" s="5">
        <v>502.66800000000001</v>
      </c>
      <c r="AD10" s="5">
        <v>643.85799999999995</v>
      </c>
      <c r="AE10" s="5">
        <v>395.26600000000002</v>
      </c>
      <c r="AF10" s="5">
        <v>371.16500000000002</v>
      </c>
      <c r="AG10" s="5">
        <v>459.70400000000001</v>
      </c>
      <c r="AH10" s="5">
        <v>182.971</v>
      </c>
      <c r="AI10" s="5">
        <v>315.51900000000001</v>
      </c>
      <c r="AJ10" s="5">
        <v>434.73599999999999</v>
      </c>
      <c r="AK10" s="5">
        <v>399.26499999999999</v>
      </c>
      <c r="AL10" s="5">
        <v>241.40899999999999</v>
      </c>
      <c r="AM10" s="5">
        <v>420.02600000000001</v>
      </c>
      <c r="AN10" s="5">
        <v>77.909000000000006</v>
      </c>
      <c r="AO10" s="5"/>
      <c r="AP10" s="5"/>
      <c r="AQ10" s="5"/>
      <c r="AR10" s="5"/>
      <c r="AS10" s="5"/>
      <c r="AT10" s="5"/>
      <c r="AU10" s="5"/>
      <c r="AV10" s="5"/>
      <c r="AW10" s="5"/>
      <c r="AX10" s="5"/>
    </row>
    <row r="11" spans="1:53" x14ac:dyDescent="0.3">
      <c r="A11" s="47" t="s">
        <v>28</v>
      </c>
      <c r="B11" s="48" cm="1">
        <f t="array" ref="B11">GetDistance(B7,B8,B9)</f>
        <v>853.09699999999998</v>
      </c>
      <c r="E11" s="5" t="s">
        <v>1480</v>
      </c>
      <c r="F11" s="5">
        <v>395.87099999999998</v>
      </c>
      <c r="G11" s="5">
        <v>800.678</v>
      </c>
      <c r="H11" s="5">
        <v>245.346</v>
      </c>
      <c r="I11" s="5">
        <v>238.941</v>
      </c>
      <c r="J11" s="5">
        <v>210.5</v>
      </c>
      <c r="K11" s="5">
        <v>239.78200000000001</v>
      </c>
      <c r="L11" s="5">
        <v>209.90199999999999</v>
      </c>
      <c r="M11" s="5">
        <v>276.334</v>
      </c>
      <c r="N11" s="5">
        <v>0</v>
      </c>
      <c r="O11" s="5">
        <v>240.85</v>
      </c>
      <c r="P11" s="5">
        <v>254.239</v>
      </c>
      <c r="Q11" s="5">
        <v>142.779</v>
      </c>
      <c r="R11" s="5">
        <v>921.85599999999999</v>
      </c>
      <c r="S11" s="5">
        <v>907.36699999999996</v>
      </c>
      <c r="T11" s="5">
        <v>301.57799999999997</v>
      </c>
      <c r="U11" s="5">
        <v>258.87099999999998</v>
      </c>
      <c r="V11" s="5">
        <v>153.727</v>
      </c>
      <c r="W11" s="5">
        <v>397.6</v>
      </c>
      <c r="X11" s="5">
        <v>473.46699999999998</v>
      </c>
      <c r="Y11" s="5">
        <v>530.31799999999998</v>
      </c>
      <c r="Z11" s="5">
        <v>942.97199999999998</v>
      </c>
      <c r="AA11" s="5">
        <v>396.23</v>
      </c>
      <c r="AB11" s="5">
        <v>600.76300000000003</v>
      </c>
      <c r="AC11" s="5">
        <v>627.221</v>
      </c>
      <c r="AD11" s="5">
        <v>389.54700000000003</v>
      </c>
      <c r="AE11" s="5">
        <v>423.07900000000001</v>
      </c>
      <c r="AF11" s="5">
        <v>116.854</v>
      </c>
      <c r="AG11" s="5">
        <v>720.83</v>
      </c>
      <c r="AH11" s="5">
        <v>444.09699999999998</v>
      </c>
      <c r="AI11" s="5">
        <v>576.64499999999998</v>
      </c>
      <c r="AJ11" s="5">
        <v>695.86199999999997</v>
      </c>
      <c r="AK11" s="5">
        <v>451.392</v>
      </c>
      <c r="AL11" s="5">
        <v>580.42600000000004</v>
      </c>
      <c r="AM11" s="5">
        <v>724.822</v>
      </c>
      <c r="AN11" s="5">
        <v>355.19299999999998</v>
      </c>
      <c r="AO11" s="5"/>
      <c r="AP11" s="5"/>
      <c r="AQ11" s="5"/>
      <c r="AR11" s="5"/>
      <c r="AS11" s="5"/>
      <c r="AT11" s="5"/>
      <c r="AU11" s="5"/>
      <c r="AV11" s="5"/>
      <c r="AW11" s="5"/>
      <c r="AX11" s="5"/>
    </row>
    <row r="12" spans="1:53" x14ac:dyDescent="0.3">
      <c r="A12" s="47"/>
      <c r="B12" s="48"/>
      <c r="E12" s="5" t="s">
        <v>1481</v>
      </c>
      <c r="F12" s="5">
        <v>452.036</v>
      </c>
      <c r="G12" s="5">
        <v>636.274</v>
      </c>
      <c r="H12" s="5">
        <v>95.444000000000003</v>
      </c>
      <c r="I12" s="5">
        <v>159.06299999999999</v>
      </c>
      <c r="J12" s="5">
        <v>76.760999999999996</v>
      </c>
      <c r="K12" s="5">
        <v>439.48500000000001</v>
      </c>
      <c r="L12" s="5">
        <v>86.620999999999995</v>
      </c>
      <c r="M12" s="5">
        <v>126.432</v>
      </c>
      <c r="N12" s="5">
        <v>239.624</v>
      </c>
      <c r="O12" s="5">
        <v>0</v>
      </c>
      <c r="P12" s="5">
        <v>474.47899999999998</v>
      </c>
      <c r="Q12" s="5">
        <v>343.10899999999998</v>
      </c>
      <c r="R12" s="5">
        <v>771.95399999999995</v>
      </c>
      <c r="S12" s="5">
        <v>757.46500000000003</v>
      </c>
      <c r="T12" s="5">
        <v>140.12</v>
      </c>
      <c r="U12" s="5">
        <v>20.719000000000001</v>
      </c>
      <c r="V12" s="5">
        <v>373.96699999999998</v>
      </c>
      <c r="W12" s="5">
        <v>453.7</v>
      </c>
      <c r="X12" s="5">
        <v>465.73399999999998</v>
      </c>
      <c r="Y12" s="5">
        <v>586.41800000000001</v>
      </c>
      <c r="Z12" s="5">
        <v>793.07</v>
      </c>
      <c r="AA12" s="5">
        <v>418.83199999999999</v>
      </c>
      <c r="AB12" s="5">
        <v>656.86300000000006</v>
      </c>
      <c r="AC12" s="5">
        <v>550.39499999999998</v>
      </c>
      <c r="AD12" s="5">
        <v>574.23299999999995</v>
      </c>
      <c r="AE12" s="5">
        <v>285.935</v>
      </c>
      <c r="AF12" s="5">
        <v>337.09399999999999</v>
      </c>
      <c r="AG12" s="5">
        <v>552.69000000000005</v>
      </c>
      <c r="AH12" s="5">
        <v>294.19499999999999</v>
      </c>
      <c r="AI12" s="5">
        <v>426.74299999999999</v>
      </c>
      <c r="AJ12" s="5">
        <v>545.96</v>
      </c>
      <c r="AK12" s="5">
        <v>289.93400000000003</v>
      </c>
      <c r="AL12" s="5">
        <v>346.11799999999999</v>
      </c>
      <c r="AM12" s="5">
        <v>490.51400000000001</v>
      </c>
      <c r="AN12" s="5">
        <v>228.16800000000001</v>
      </c>
      <c r="AO12" s="5"/>
      <c r="AP12" s="5"/>
      <c r="AQ12" s="5"/>
      <c r="AR12" s="5"/>
      <c r="AS12" s="5"/>
      <c r="AT12" s="5"/>
      <c r="AU12" s="5"/>
      <c r="AV12" s="5"/>
      <c r="AW12" s="5"/>
      <c r="AX12" s="5"/>
    </row>
    <row r="13" spans="1:53" x14ac:dyDescent="0.3">
      <c r="E13" s="5" t="s">
        <v>1482</v>
      </c>
      <c r="F13" s="5">
        <v>505.83100000000002</v>
      </c>
      <c r="G13" s="5">
        <v>990.31799999999998</v>
      </c>
      <c r="H13" s="5">
        <v>478.86</v>
      </c>
      <c r="I13" s="5">
        <v>472.45499999999998</v>
      </c>
      <c r="J13" s="5">
        <v>444.01400000000001</v>
      </c>
      <c r="K13" s="5">
        <v>104.04</v>
      </c>
      <c r="L13" s="5">
        <v>399.54199999999997</v>
      </c>
      <c r="M13" s="5">
        <v>509.84800000000001</v>
      </c>
      <c r="N13" s="5">
        <v>253.96899999999999</v>
      </c>
      <c r="O13" s="5">
        <v>474.36399999999998</v>
      </c>
      <c r="P13" s="5">
        <v>0</v>
      </c>
      <c r="Q13" s="5">
        <v>135.54900000000001</v>
      </c>
      <c r="R13" s="5">
        <v>1155.3699999999999</v>
      </c>
      <c r="S13" s="5">
        <v>1140.8810000000001</v>
      </c>
      <c r="T13" s="5">
        <v>491.21800000000002</v>
      </c>
      <c r="U13" s="5">
        <v>492.38499999999999</v>
      </c>
      <c r="V13" s="5">
        <v>130.321</v>
      </c>
      <c r="W13" s="5">
        <v>508.99799999999999</v>
      </c>
      <c r="X13" s="5">
        <v>584.86500000000001</v>
      </c>
      <c r="Y13" s="5">
        <v>641.71600000000001</v>
      </c>
      <c r="Z13" s="5">
        <v>1176.4860000000001</v>
      </c>
      <c r="AA13" s="5">
        <v>507.62799999999999</v>
      </c>
      <c r="AB13" s="5">
        <v>712.16099999999994</v>
      </c>
      <c r="AC13" s="5">
        <v>738.61900000000003</v>
      </c>
      <c r="AD13" s="5">
        <v>139.06299999999999</v>
      </c>
      <c r="AE13" s="5">
        <v>574.40300000000002</v>
      </c>
      <c r="AF13" s="5">
        <v>157.25800000000001</v>
      </c>
      <c r="AG13" s="5">
        <v>954.34400000000005</v>
      </c>
      <c r="AH13" s="5">
        <v>677.61099999999999</v>
      </c>
      <c r="AI13" s="5">
        <v>810.16</v>
      </c>
      <c r="AJ13" s="5">
        <v>929.37599999999998</v>
      </c>
      <c r="AK13" s="5">
        <v>641.03200000000004</v>
      </c>
      <c r="AL13" s="5">
        <v>784.22900000000004</v>
      </c>
      <c r="AM13" s="5">
        <v>928.625</v>
      </c>
      <c r="AN13" s="5">
        <v>588.70699999999999</v>
      </c>
      <c r="AO13" s="5"/>
      <c r="AP13" s="5"/>
      <c r="AQ13" s="5"/>
      <c r="AR13" s="5"/>
      <c r="AS13" s="5"/>
      <c r="AT13" s="5"/>
      <c r="AU13" s="5"/>
      <c r="AV13" s="5"/>
      <c r="AW13" s="5"/>
      <c r="AX13" s="5"/>
    </row>
    <row r="14" spans="1:53" x14ac:dyDescent="0.3">
      <c r="E14" s="5" t="s">
        <v>1483</v>
      </c>
      <c r="F14" s="5">
        <v>461.18099999999998</v>
      </c>
      <c r="G14" s="5">
        <v>855.447</v>
      </c>
      <c r="H14" s="5">
        <v>387.79500000000002</v>
      </c>
      <c r="I14" s="5">
        <v>381.39</v>
      </c>
      <c r="J14" s="5">
        <v>325.93900000000002</v>
      </c>
      <c r="K14" s="5">
        <v>99.512</v>
      </c>
      <c r="L14" s="5">
        <v>264.67099999999999</v>
      </c>
      <c r="M14" s="5">
        <v>418.78300000000002</v>
      </c>
      <c r="N14" s="5">
        <v>143.298</v>
      </c>
      <c r="O14" s="5">
        <v>343.29199999999997</v>
      </c>
      <c r="P14" s="5">
        <v>135.642</v>
      </c>
      <c r="Q14" s="5">
        <v>0</v>
      </c>
      <c r="R14" s="5">
        <v>1064.3050000000001</v>
      </c>
      <c r="S14" s="5">
        <v>1049.816</v>
      </c>
      <c r="T14" s="5">
        <v>356.34699999999998</v>
      </c>
      <c r="U14" s="5">
        <v>361.31299999999999</v>
      </c>
      <c r="V14" s="5">
        <v>122.767</v>
      </c>
      <c r="W14" s="5">
        <v>463.899</v>
      </c>
      <c r="X14" s="5">
        <v>539.76599999999996</v>
      </c>
      <c r="Y14" s="5">
        <v>596.61699999999996</v>
      </c>
      <c r="Z14" s="5">
        <v>1085.421</v>
      </c>
      <c r="AA14" s="5">
        <v>462.529</v>
      </c>
      <c r="AB14" s="5">
        <v>667.06200000000001</v>
      </c>
      <c r="AC14" s="5">
        <v>693.52</v>
      </c>
      <c r="AD14" s="5">
        <v>234.26</v>
      </c>
      <c r="AE14" s="5">
        <v>439.53199999999998</v>
      </c>
      <c r="AF14" s="5">
        <v>119.604</v>
      </c>
      <c r="AG14" s="5">
        <v>863.279</v>
      </c>
      <c r="AH14" s="5">
        <v>586.54600000000005</v>
      </c>
      <c r="AI14" s="5">
        <v>719.09400000000005</v>
      </c>
      <c r="AJ14" s="5">
        <v>838.31100000000004</v>
      </c>
      <c r="AK14" s="5">
        <v>506.161</v>
      </c>
      <c r="AL14" s="5">
        <v>649.35799999999995</v>
      </c>
      <c r="AM14" s="5">
        <v>793.75400000000002</v>
      </c>
      <c r="AN14" s="5">
        <v>497.642</v>
      </c>
      <c r="AO14" s="5"/>
      <c r="AP14" s="5"/>
      <c r="AQ14" s="5"/>
      <c r="AR14" s="5"/>
      <c r="AS14" s="5"/>
      <c r="AT14" s="5"/>
      <c r="AU14" s="5"/>
      <c r="AV14" s="5"/>
      <c r="AW14" s="5"/>
      <c r="AX14" s="5"/>
    </row>
    <row r="15" spans="1:53" x14ac:dyDescent="0.3">
      <c r="E15" s="5" t="s">
        <v>1484</v>
      </c>
      <c r="F15" s="5">
        <v>658.32500000000005</v>
      </c>
      <c r="G15" s="5">
        <v>793.48900000000003</v>
      </c>
      <c r="H15" s="5">
        <v>683.23299999999995</v>
      </c>
      <c r="I15" s="5">
        <v>680.82100000000003</v>
      </c>
      <c r="J15" s="5">
        <v>734.33600000000001</v>
      </c>
      <c r="K15" s="5">
        <v>1160.0930000000001</v>
      </c>
      <c r="L15" s="5">
        <v>838.21600000000001</v>
      </c>
      <c r="M15" s="5">
        <v>661.65599999999995</v>
      </c>
      <c r="N15" s="5">
        <v>919.40800000000002</v>
      </c>
      <c r="O15" s="5">
        <v>771.85500000000002</v>
      </c>
      <c r="P15" s="5">
        <v>1154.2629999999999</v>
      </c>
      <c r="Q15" s="5">
        <v>1063.7170000000001</v>
      </c>
      <c r="R15" s="5">
        <v>0</v>
      </c>
      <c r="S15" s="5">
        <v>17.141999999999999</v>
      </c>
      <c r="T15" s="5">
        <v>788.33600000000001</v>
      </c>
      <c r="U15" s="5">
        <v>779.60699999999997</v>
      </c>
      <c r="V15" s="5">
        <v>1053.751</v>
      </c>
      <c r="W15" s="5">
        <v>651.30200000000002</v>
      </c>
      <c r="X15" s="5">
        <v>625.29</v>
      </c>
      <c r="Y15" s="5">
        <v>529.447</v>
      </c>
      <c r="Z15" s="5">
        <v>22.577999999999999</v>
      </c>
      <c r="AA15" s="5">
        <v>691.84100000000001</v>
      </c>
      <c r="AB15" s="5">
        <v>609.19500000000005</v>
      </c>
      <c r="AC15" s="5">
        <v>424.05599999999998</v>
      </c>
      <c r="AD15" s="5">
        <v>1289.5709999999999</v>
      </c>
      <c r="AE15" s="5">
        <v>939.822</v>
      </c>
      <c r="AF15" s="5">
        <v>1010.514</v>
      </c>
      <c r="AG15" s="5">
        <v>413.76499999999999</v>
      </c>
      <c r="AH15" s="5">
        <v>482.18599999999998</v>
      </c>
      <c r="AI15" s="5">
        <v>346.39</v>
      </c>
      <c r="AJ15" s="5">
        <v>305.3</v>
      </c>
      <c r="AK15" s="5">
        <v>818.16300000000001</v>
      </c>
      <c r="AL15" s="5">
        <v>449.09199999999998</v>
      </c>
      <c r="AM15" s="5">
        <v>647.72900000000004</v>
      </c>
      <c r="AN15" s="5">
        <v>583.202</v>
      </c>
      <c r="AO15" s="5"/>
      <c r="AP15" s="5"/>
      <c r="AQ15" s="5"/>
      <c r="AR15" s="5"/>
      <c r="AS15" s="5"/>
      <c r="AT15" s="5"/>
      <c r="AU15" s="5"/>
      <c r="AV15" s="5"/>
      <c r="AW15" s="5"/>
      <c r="AX15" s="5"/>
    </row>
    <row r="16" spans="1:53" x14ac:dyDescent="0.3">
      <c r="E16" s="5" t="s">
        <v>1485</v>
      </c>
      <c r="F16" s="5">
        <v>643.83600000000001</v>
      </c>
      <c r="G16" s="5">
        <v>779.03700000000003</v>
      </c>
      <c r="H16" s="5">
        <v>668.78099999999995</v>
      </c>
      <c r="I16" s="5">
        <v>666.36900000000003</v>
      </c>
      <c r="J16" s="5">
        <v>719.88400000000001</v>
      </c>
      <c r="K16" s="5">
        <v>1145.6410000000001</v>
      </c>
      <c r="L16" s="5">
        <v>823.76400000000001</v>
      </c>
      <c r="M16" s="5">
        <v>647.20399999999995</v>
      </c>
      <c r="N16" s="5">
        <v>904.95600000000002</v>
      </c>
      <c r="O16" s="5">
        <v>757.40300000000002</v>
      </c>
      <c r="P16" s="5">
        <v>1139.8109999999999</v>
      </c>
      <c r="Q16" s="5">
        <v>1049.2650000000001</v>
      </c>
      <c r="R16" s="5">
        <v>17.885000000000002</v>
      </c>
      <c r="S16" s="5">
        <v>0</v>
      </c>
      <c r="T16" s="5">
        <v>773.88400000000001</v>
      </c>
      <c r="U16" s="5">
        <v>765.15499999999997</v>
      </c>
      <c r="V16" s="5">
        <v>1039.299</v>
      </c>
      <c r="W16" s="5">
        <v>636.85</v>
      </c>
      <c r="X16" s="5">
        <v>610.83799999999997</v>
      </c>
      <c r="Y16" s="5">
        <v>514.995</v>
      </c>
      <c r="Z16" s="5">
        <v>37.997</v>
      </c>
      <c r="AA16" s="5">
        <v>677.38900000000001</v>
      </c>
      <c r="AB16" s="5">
        <v>594.74300000000005</v>
      </c>
      <c r="AC16" s="5">
        <v>409.60399999999998</v>
      </c>
      <c r="AD16" s="5">
        <v>1275.1189999999999</v>
      </c>
      <c r="AE16" s="5">
        <v>925.37</v>
      </c>
      <c r="AF16" s="5">
        <v>996.06200000000001</v>
      </c>
      <c r="AG16" s="5">
        <v>399.31299999999999</v>
      </c>
      <c r="AH16" s="5">
        <v>467.73399999999998</v>
      </c>
      <c r="AI16" s="5">
        <v>331.93799999999999</v>
      </c>
      <c r="AJ16" s="5">
        <v>290.84800000000001</v>
      </c>
      <c r="AK16" s="5">
        <v>803.71100000000001</v>
      </c>
      <c r="AL16" s="5">
        <v>434.64</v>
      </c>
      <c r="AM16" s="5">
        <v>633.27700000000004</v>
      </c>
      <c r="AN16" s="5">
        <v>568.75</v>
      </c>
      <c r="AO16" s="5"/>
      <c r="AP16" s="5"/>
      <c r="AQ16" s="5"/>
      <c r="AR16" s="5"/>
      <c r="AS16" s="5"/>
      <c r="AT16" s="5"/>
      <c r="AU16" s="5"/>
      <c r="AV16" s="5"/>
      <c r="AW16" s="5"/>
      <c r="AX16" s="5"/>
    </row>
    <row r="17" spans="5:50" x14ac:dyDescent="0.3">
      <c r="E17" s="5" t="s">
        <v>1486</v>
      </c>
      <c r="F17" s="5">
        <v>585.61400000000003</v>
      </c>
      <c r="G17" s="5">
        <v>511.85300000000001</v>
      </c>
      <c r="H17" s="5">
        <v>219.06</v>
      </c>
      <c r="I17" s="5">
        <v>282.67899999999997</v>
      </c>
      <c r="J17" s="5">
        <v>210.554</v>
      </c>
      <c r="K17" s="5">
        <v>452.29899999999998</v>
      </c>
      <c r="L17" s="5">
        <v>99.591999999999999</v>
      </c>
      <c r="M17" s="5">
        <v>250.048</v>
      </c>
      <c r="N17" s="5">
        <v>300.34800000000001</v>
      </c>
      <c r="O17" s="5">
        <v>139.63399999999999</v>
      </c>
      <c r="P17" s="5">
        <v>490.85899999999998</v>
      </c>
      <c r="Q17" s="5">
        <v>355.923</v>
      </c>
      <c r="R17" s="5">
        <v>788.68299999999999</v>
      </c>
      <c r="S17" s="5">
        <v>774.19399999999996</v>
      </c>
      <c r="T17" s="5">
        <v>0</v>
      </c>
      <c r="U17" s="5">
        <v>135.221</v>
      </c>
      <c r="V17" s="5">
        <v>434.69099999999997</v>
      </c>
      <c r="W17" s="5">
        <v>587.49300000000005</v>
      </c>
      <c r="X17" s="5">
        <v>589.35</v>
      </c>
      <c r="Y17" s="5">
        <v>720.21100000000001</v>
      </c>
      <c r="Z17" s="5">
        <v>809.79899999999998</v>
      </c>
      <c r="AA17" s="5">
        <v>552.625</v>
      </c>
      <c r="AB17" s="5">
        <v>790.65599999999995</v>
      </c>
      <c r="AC17" s="5">
        <v>674.01099999999997</v>
      </c>
      <c r="AD17" s="5">
        <v>587.04700000000003</v>
      </c>
      <c r="AE17" s="5">
        <v>168.809</v>
      </c>
      <c r="AF17" s="5">
        <v>397.81799999999998</v>
      </c>
      <c r="AG17" s="5">
        <v>548.005</v>
      </c>
      <c r="AH17" s="5">
        <v>417.81099999999998</v>
      </c>
      <c r="AI17" s="5">
        <v>528.01800000000003</v>
      </c>
      <c r="AJ17" s="5">
        <v>563.58199999999999</v>
      </c>
      <c r="AK17" s="5">
        <v>162.56700000000001</v>
      </c>
      <c r="AL17" s="5">
        <v>341.43299999999999</v>
      </c>
      <c r="AM17" s="5">
        <v>485.82900000000001</v>
      </c>
      <c r="AN17" s="5">
        <v>245.53399999999999</v>
      </c>
      <c r="AO17" s="5"/>
      <c r="AP17" s="5"/>
      <c r="AQ17" s="5"/>
      <c r="AR17" s="5"/>
      <c r="AS17" s="5"/>
      <c r="AT17" s="5"/>
      <c r="AU17" s="5"/>
      <c r="AV17" s="5"/>
      <c r="AW17" s="5"/>
      <c r="AX17" s="5"/>
    </row>
    <row r="18" spans="5:50" x14ac:dyDescent="0.3">
      <c r="E18" s="5" t="s">
        <v>1487</v>
      </c>
      <c r="F18" s="5">
        <v>470.05700000000002</v>
      </c>
      <c r="G18" s="5">
        <v>632.62400000000002</v>
      </c>
      <c r="H18" s="5">
        <v>103.953</v>
      </c>
      <c r="I18" s="5">
        <v>167.572</v>
      </c>
      <c r="J18" s="5">
        <v>95.447000000000003</v>
      </c>
      <c r="K18" s="5">
        <v>458.17099999999999</v>
      </c>
      <c r="L18" s="5">
        <v>82.971000000000004</v>
      </c>
      <c r="M18" s="5">
        <v>134.941</v>
      </c>
      <c r="N18" s="5">
        <v>258.31</v>
      </c>
      <c r="O18" s="5">
        <v>20.727</v>
      </c>
      <c r="P18" s="5">
        <v>493.16500000000002</v>
      </c>
      <c r="Q18" s="5">
        <v>361.79500000000002</v>
      </c>
      <c r="R18" s="5">
        <v>780.46299999999997</v>
      </c>
      <c r="S18" s="5">
        <v>765.97400000000005</v>
      </c>
      <c r="T18" s="5">
        <v>136.47</v>
      </c>
      <c r="U18" s="5">
        <v>0</v>
      </c>
      <c r="V18" s="5">
        <v>392.65300000000002</v>
      </c>
      <c r="W18" s="5">
        <v>472.38600000000002</v>
      </c>
      <c r="X18" s="5">
        <v>474.24299999999999</v>
      </c>
      <c r="Y18" s="5">
        <v>605.10400000000004</v>
      </c>
      <c r="Z18" s="5">
        <v>801.57899999999995</v>
      </c>
      <c r="AA18" s="5">
        <v>437.51799999999997</v>
      </c>
      <c r="AB18" s="5">
        <v>675.54899999999998</v>
      </c>
      <c r="AC18" s="5">
        <v>558.904</v>
      </c>
      <c r="AD18" s="5">
        <v>592.91899999999998</v>
      </c>
      <c r="AE18" s="5">
        <v>282.28500000000003</v>
      </c>
      <c r="AF18" s="5">
        <v>355.78</v>
      </c>
      <c r="AG18" s="5">
        <v>549.04</v>
      </c>
      <c r="AH18" s="5">
        <v>302.70400000000001</v>
      </c>
      <c r="AI18" s="5">
        <v>435.25200000000001</v>
      </c>
      <c r="AJ18" s="5">
        <v>564.61699999999996</v>
      </c>
      <c r="AK18" s="5">
        <v>286.28399999999999</v>
      </c>
      <c r="AL18" s="5">
        <v>342.46800000000002</v>
      </c>
      <c r="AM18" s="5">
        <v>486.86399999999998</v>
      </c>
      <c r="AN18" s="5">
        <v>190.87100000000001</v>
      </c>
      <c r="AO18" s="5"/>
      <c r="AP18" s="5"/>
      <c r="AQ18" s="5"/>
      <c r="AR18" s="5"/>
      <c r="AS18" s="5"/>
      <c r="AT18" s="5"/>
      <c r="AU18" s="5"/>
      <c r="AV18" s="5"/>
      <c r="AW18" s="5"/>
      <c r="AX18" s="5"/>
    </row>
    <row r="19" spans="5:50" x14ac:dyDescent="0.3">
      <c r="E19" s="5" t="s">
        <v>1488</v>
      </c>
      <c r="F19" s="5">
        <v>405.31900000000002</v>
      </c>
      <c r="G19" s="5">
        <v>934.58100000000002</v>
      </c>
      <c r="H19" s="5">
        <v>379.24900000000002</v>
      </c>
      <c r="I19" s="5">
        <v>372.84399999999999</v>
      </c>
      <c r="J19" s="5">
        <v>344.40300000000002</v>
      </c>
      <c r="K19" s="5">
        <v>193.93100000000001</v>
      </c>
      <c r="L19" s="5">
        <v>343.80500000000001</v>
      </c>
      <c r="M19" s="5">
        <v>410.23700000000002</v>
      </c>
      <c r="N19" s="5">
        <v>154.358</v>
      </c>
      <c r="O19" s="5">
        <v>374.75299999999999</v>
      </c>
      <c r="P19" s="5">
        <v>129.92500000000001</v>
      </c>
      <c r="Q19" s="5">
        <v>122.354</v>
      </c>
      <c r="R19" s="5">
        <v>1055.759</v>
      </c>
      <c r="S19" s="5">
        <v>1041.27</v>
      </c>
      <c r="T19" s="5">
        <v>435.48099999999999</v>
      </c>
      <c r="U19" s="5">
        <v>392.774</v>
      </c>
      <c r="V19" s="5">
        <v>0</v>
      </c>
      <c r="W19" s="5">
        <v>409.387</v>
      </c>
      <c r="X19" s="5">
        <v>485.25400000000002</v>
      </c>
      <c r="Y19" s="5">
        <v>542.10500000000002</v>
      </c>
      <c r="Z19" s="5">
        <v>1076.875</v>
      </c>
      <c r="AA19" s="5">
        <v>408.017</v>
      </c>
      <c r="AB19" s="5">
        <v>612.54999999999995</v>
      </c>
      <c r="AC19" s="5">
        <v>639.00800000000004</v>
      </c>
      <c r="AD19" s="5">
        <v>265.233</v>
      </c>
      <c r="AE19" s="5">
        <v>556.98199999999997</v>
      </c>
      <c r="AF19" s="5">
        <v>57.646999999999998</v>
      </c>
      <c r="AG19" s="5">
        <v>854.73299999999995</v>
      </c>
      <c r="AH19" s="5">
        <v>578</v>
      </c>
      <c r="AI19" s="5">
        <v>710.548</v>
      </c>
      <c r="AJ19" s="5">
        <v>829.76499999999999</v>
      </c>
      <c r="AK19" s="5">
        <v>585.29499999999996</v>
      </c>
      <c r="AL19" s="5">
        <v>714.32899999999995</v>
      </c>
      <c r="AM19" s="5">
        <v>858.72500000000002</v>
      </c>
      <c r="AN19" s="5">
        <v>489.096</v>
      </c>
      <c r="AO19" s="5"/>
      <c r="AP19" s="5"/>
      <c r="AQ19" s="5"/>
      <c r="AR19" s="5"/>
      <c r="AS19" s="5"/>
      <c r="AT19" s="5"/>
      <c r="AU19" s="5"/>
      <c r="AV19" s="5"/>
      <c r="AW19" s="5"/>
      <c r="AX19" s="5"/>
    </row>
    <row r="20" spans="5:50" x14ac:dyDescent="0.3">
      <c r="E20" s="5" t="s">
        <v>1489</v>
      </c>
      <c r="F20" s="5">
        <v>9.2289999999999992</v>
      </c>
      <c r="G20" s="5">
        <v>925.60799999999995</v>
      </c>
      <c r="H20" s="5">
        <v>404.13799999999998</v>
      </c>
      <c r="I20" s="5">
        <v>339.452</v>
      </c>
      <c r="J20" s="5">
        <v>425.18599999999998</v>
      </c>
      <c r="K20" s="5">
        <v>561.45799999999997</v>
      </c>
      <c r="L20" s="5">
        <v>547.78</v>
      </c>
      <c r="M20" s="5">
        <v>491.02</v>
      </c>
      <c r="N20" s="5">
        <v>399.14499999999998</v>
      </c>
      <c r="O20" s="5">
        <v>455.31</v>
      </c>
      <c r="P20" s="5">
        <v>509.10500000000002</v>
      </c>
      <c r="Q20" s="5">
        <v>464.45499999999998</v>
      </c>
      <c r="R20" s="5">
        <v>651.57899999999995</v>
      </c>
      <c r="S20" s="5">
        <v>637.09</v>
      </c>
      <c r="T20" s="5">
        <v>588.88800000000003</v>
      </c>
      <c r="U20" s="5">
        <v>473.33100000000002</v>
      </c>
      <c r="V20" s="5">
        <v>408.59300000000002</v>
      </c>
      <c r="W20" s="5">
        <v>0</v>
      </c>
      <c r="X20" s="5">
        <v>118.19</v>
      </c>
      <c r="Y20" s="5">
        <v>135.20099999999999</v>
      </c>
      <c r="Z20" s="5">
        <v>672.69500000000005</v>
      </c>
      <c r="AA20" s="5">
        <v>43.847999999999999</v>
      </c>
      <c r="AB20" s="5">
        <v>205.64599999999999</v>
      </c>
      <c r="AC20" s="5">
        <v>232.10400000000001</v>
      </c>
      <c r="AD20" s="5">
        <v>644.41300000000001</v>
      </c>
      <c r="AE20" s="5">
        <v>734.70299999999997</v>
      </c>
      <c r="AF20" s="5">
        <v>362.52100000000002</v>
      </c>
      <c r="AG20" s="5">
        <v>673.39800000000002</v>
      </c>
      <c r="AH20" s="5">
        <v>396.66500000000002</v>
      </c>
      <c r="AI20" s="5">
        <v>529.21299999999997</v>
      </c>
      <c r="AJ20" s="5">
        <v>648.42999999999995</v>
      </c>
      <c r="AK20" s="5">
        <v>738.702</v>
      </c>
      <c r="AL20" s="5">
        <v>576.34900000000005</v>
      </c>
      <c r="AM20" s="5">
        <v>779.84799999999996</v>
      </c>
      <c r="AN20" s="5">
        <v>534.23400000000004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</row>
    <row r="21" spans="5:50" x14ac:dyDescent="0.3">
      <c r="E21" s="5" t="s">
        <v>1490</v>
      </c>
      <c r="F21" s="5">
        <v>118.533</v>
      </c>
      <c r="G21" s="5">
        <v>838.42100000000005</v>
      </c>
      <c r="H21" s="5">
        <v>378.553</v>
      </c>
      <c r="I21" s="5">
        <v>313.86700000000002</v>
      </c>
      <c r="J21" s="5">
        <v>427.89600000000002</v>
      </c>
      <c r="K21" s="5">
        <v>631.58399999999995</v>
      </c>
      <c r="L21" s="5">
        <v>535.22500000000002</v>
      </c>
      <c r="M21" s="5">
        <v>419.11399999999998</v>
      </c>
      <c r="N21" s="5">
        <v>469.27100000000002</v>
      </c>
      <c r="O21" s="5">
        <v>465.41500000000002</v>
      </c>
      <c r="P21" s="5">
        <v>579.23099999999999</v>
      </c>
      <c r="Q21" s="5">
        <v>534.58100000000002</v>
      </c>
      <c r="R21" s="5">
        <v>625.07399999999996</v>
      </c>
      <c r="S21" s="5">
        <v>610.58500000000004</v>
      </c>
      <c r="T21" s="5">
        <v>588.72400000000005</v>
      </c>
      <c r="U21" s="5">
        <v>473.16699999999997</v>
      </c>
      <c r="V21" s="5">
        <v>478.71899999999999</v>
      </c>
      <c r="W21" s="5">
        <v>116.63</v>
      </c>
      <c r="X21" s="5">
        <v>0</v>
      </c>
      <c r="Y21" s="5">
        <v>104.554</v>
      </c>
      <c r="Z21" s="5">
        <v>646.19000000000005</v>
      </c>
      <c r="AA21" s="5">
        <v>79.447999999999993</v>
      </c>
      <c r="AB21" s="5">
        <v>254.75899999999999</v>
      </c>
      <c r="AC21" s="5">
        <v>205.59899999999999</v>
      </c>
      <c r="AD21" s="5">
        <v>714.53899999999999</v>
      </c>
      <c r="AE21" s="5">
        <v>734.53899999999999</v>
      </c>
      <c r="AF21" s="5">
        <v>432.64699999999999</v>
      </c>
      <c r="AG21" s="5">
        <v>586.21100000000001</v>
      </c>
      <c r="AH21" s="5">
        <v>309.47800000000001</v>
      </c>
      <c r="AI21" s="5">
        <v>442.02600000000001</v>
      </c>
      <c r="AJ21" s="5">
        <v>561.24300000000005</v>
      </c>
      <c r="AK21" s="5">
        <v>738.53800000000001</v>
      </c>
      <c r="AL21" s="5">
        <v>489.16199999999998</v>
      </c>
      <c r="AM21" s="5">
        <v>692.66099999999994</v>
      </c>
      <c r="AN21" s="5">
        <v>447.04700000000003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</row>
    <row r="22" spans="5:50" x14ac:dyDescent="0.3">
      <c r="E22" s="5" t="s">
        <v>1491</v>
      </c>
      <c r="F22" s="5">
        <v>141.947</v>
      </c>
      <c r="G22" s="5">
        <v>961.47900000000004</v>
      </c>
      <c r="H22" s="5">
        <v>501.61099999999999</v>
      </c>
      <c r="I22" s="5">
        <v>436.92500000000001</v>
      </c>
      <c r="J22" s="5">
        <v>550.95399999999995</v>
      </c>
      <c r="K22" s="5">
        <v>693.654</v>
      </c>
      <c r="L22" s="5">
        <v>679.976</v>
      </c>
      <c r="M22" s="5">
        <v>542.17200000000003</v>
      </c>
      <c r="N22" s="5">
        <v>531.34100000000001</v>
      </c>
      <c r="O22" s="5">
        <v>588.47299999999996</v>
      </c>
      <c r="P22" s="5">
        <v>641.30100000000004</v>
      </c>
      <c r="Q22" s="5">
        <v>596.65099999999995</v>
      </c>
      <c r="R22" s="5">
        <v>529.24900000000002</v>
      </c>
      <c r="S22" s="5">
        <v>514.76</v>
      </c>
      <c r="T22" s="5">
        <v>711.78200000000004</v>
      </c>
      <c r="U22" s="5">
        <v>596.22500000000002</v>
      </c>
      <c r="V22" s="5">
        <v>540.78899999999999</v>
      </c>
      <c r="W22" s="5">
        <v>135.505</v>
      </c>
      <c r="X22" s="5">
        <v>104.797</v>
      </c>
      <c r="Y22" s="5">
        <v>0</v>
      </c>
      <c r="Z22" s="5">
        <v>550.36500000000001</v>
      </c>
      <c r="AA22" s="5">
        <v>176.04400000000001</v>
      </c>
      <c r="AB22" s="5">
        <v>248.83799999999999</v>
      </c>
      <c r="AC22" s="5">
        <v>109.774</v>
      </c>
      <c r="AD22" s="5">
        <v>776.60900000000004</v>
      </c>
      <c r="AE22" s="5">
        <v>857.59699999999998</v>
      </c>
      <c r="AF22" s="5">
        <v>494.71699999999998</v>
      </c>
      <c r="AG22" s="5">
        <v>709.26900000000001</v>
      </c>
      <c r="AH22" s="5">
        <v>432.536</v>
      </c>
      <c r="AI22" s="5">
        <v>565.08399999999995</v>
      </c>
      <c r="AJ22" s="5">
        <v>630.47799999999995</v>
      </c>
      <c r="AK22" s="5">
        <v>861.596</v>
      </c>
      <c r="AL22" s="5">
        <v>612.22</v>
      </c>
      <c r="AM22" s="5">
        <v>815.71900000000005</v>
      </c>
      <c r="AN22" s="5">
        <v>570.10500000000002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</row>
    <row r="23" spans="5:50" x14ac:dyDescent="0.3">
      <c r="E23" s="5" t="s">
        <v>1492</v>
      </c>
      <c r="F23" s="5">
        <v>679.44100000000003</v>
      </c>
      <c r="G23" s="5">
        <v>814.678</v>
      </c>
      <c r="H23" s="5">
        <v>704.42200000000003</v>
      </c>
      <c r="I23" s="5">
        <v>702.01</v>
      </c>
      <c r="J23" s="5">
        <v>755.52499999999998</v>
      </c>
      <c r="K23" s="5">
        <v>1181.2819999999999</v>
      </c>
      <c r="L23" s="5">
        <v>859.40499999999997</v>
      </c>
      <c r="M23" s="5">
        <v>682.84500000000003</v>
      </c>
      <c r="N23" s="5">
        <v>940.59699999999998</v>
      </c>
      <c r="O23" s="5">
        <v>793.04399999999998</v>
      </c>
      <c r="P23" s="5">
        <v>1175.452</v>
      </c>
      <c r="Q23" s="5">
        <v>1084.9059999999999</v>
      </c>
      <c r="R23" s="5">
        <v>24.347999999999999</v>
      </c>
      <c r="S23" s="5">
        <v>37.341000000000001</v>
      </c>
      <c r="T23" s="5">
        <v>809.52499999999998</v>
      </c>
      <c r="U23" s="5">
        <v>800.79600000000005</v>
      </c>
      <c r="V23" s="5">
        <v>1074.94</v>
      </c>
      <c r="W23" s="5">
        <v>672.49099999999999</v>
      </c>
      <c r="X23" s="5">
        <v>646.47900000000004</v>
      </c>
      <c r="Y23" s="5">
        <v>550.63599999999997</v>
      </c>
      <c r="Z23" s="5">
        <v>0</v>
      </c>
      <c r="AA23" s="5">
        <v>713.03</v>
      </c>
      <c r="AB23" s="5">
        <v>630.38400000000001</v>
      </c>
      <c r="AC23" s="5">
        <v>445.245</v>
      </c>
      <c r="AD23" s="5">
        <v>1310.76</v>
      </c>
      <c r="AE23" s="5">
        <v>961.01099999999997</v>
      </c>
      <c r="AF23" s="5">
        <v>1031.703</v>
      </c>
      <c r="AG23" s="5">
        <v>434.95400000000001</v>
      </c>
      <c r="AH23" s="5">
        <v>503.375</v>
      </c>
      <c r="AI23" s="5">
        <v>367.57900000000001</v>
      </c>
      <c r="AJ23" s="5">
        <v>326.48899999999998</v>
      </c>
      <c r="AK23" s="5">
        <v>839.35199999999998</v>
      </c>
      <c r="AL23" s="5">
        <v>470.28100000000001</v>
      </c>
      <c r="AM23" s="5">
        <v>668.91800000000001</v>
      </c>
      <c r="AN23" s="5">
        <v>604.39099999999996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</row>
    <row r="24" spans="5:50" x14ac:dyDescent="0.3">
      <c r="E24" s="5" t="s">
        <v>1493</v>
      </c>
      <c r="F24" s="5">
        <v>44.191000000000003</v>
      </c>
      <c r="G24" s="5">
        <v>887.18</v>
      </c>
      <c r="H24" s="5">
        <v>427.31200000000001</v>
      </c>
      <c r="I24" s="5">
        <v>362.62599999999998</v>
      </c>
      <c r="J24" s="5">
        <v>389.375</v>
      </c>
      <c r="K24" s="5">
        <v>554.80799999999999</v>
      </c>
      <c r="L24" s="5">
        <v>511.96899999999999</v>
      </c>
      <c r="M24" s="5">
        <v>467.87299999999999</v>
      </c>
      <c r="N24" s="5">
        <v>392.495</v>
      </c>
      <c r="O24" s="5">
        <v>419.49900000000002</v>
      </c>
      <c r="P24" s="5">
        <v>502.45499999999998</v>
      </c>
      <c r="Q24" s="5">
        <v>457.80500000000001</v>
      </c>
      <c r="R24" s="5">
        <v>690.97400000000005</v>
      </c>
      <c r="S24" s="5">
        <v>676.48500000000001</v>
      </c>
      <c r="T24" s="5">
        <v>553.077</v>
      </c>
      <c r="U24" s="5">
        <v>437.52</v>
      </c>
      <c r="V24" s="5">
        <v>401.94299999999998</v>
      </c>
      <c r="W24" s="5">
        <v>41.878</v>
      </c>
      <c r="X24" s="5">
        <v>79.762</v>
      </c>
      <c r="Y24" s="5">
        <v>174.596</v>
      </c>
      <c r="Z24" s="5">
        <v>712.09</v>
      </c>
      <c r="AA24" s="5">
        <v>0</v>
      </c>
      <c r="AB24" s="5">
        <v>245.041</v>
      </c>
      <c r="AC24" s="5">
        <v>271.49900000000002</v>
      </c>
      <c r="AD24" s="5">
        <v>637.76300000000003</v>
      </c>
      <c r="AE24" s="5">
        <v>698.89200000000005</v>
      </c>
      <c r="AF24" s="5">
        <v>355.87099999999998</v>
      </c>
      <c r="AG24" s="5">
        <v>634.97</v>
      </c>
      <c r="AH24" s="5">
        <v>358.23700000000002</v>
      </c>
      <c r="AI24" s="5">
        <v>490.78500000000003</v>
      </c>
      <c r="AJ24" s="5">
        <v>610.00199999999995</v>
      </c>
      <c r="AK24" s="5">
        <v>702.89099999999996</v>
      </c>
      <c r="AL24" s="5">
        <v>537.92100000000005</v>
      </c>
      <c r="AM24" s="5">
        <v>741.42</v>
      </c>
      <c r="AN24" s="5">
        <v>495.80599999999998</v>
      </c>
      <c r="AO24" s="5"/>
      <c r="AP24" s="5"/>
      <c r="AQ24" s="5"/>
      <c r="AR24" s="5"/>
      <c r="AS24" s="5"/>
      <c r="AT24" s="5"/>
      <c r="AU24" s="5"/>
      <c r="AV24" s="5"/>
      <c r="AW24" s="5"/>
      <c r="AX24" s="5"/>
    </row>
    <row r="25" spans="5:50" x14ac:dyDescent="0.3">
      <c r="E25" s="5" t="s">
        <v>1494</v>
      </c>
      <c r="F25" s="5">
        <v>212.392</v>
      </c>
      <c r="G25" s="5">
        <v>1130.7760000000001</v>
      </c>
      <c r="H25" s="5">
        <v>609.30600000000004</v>
      </c>
      <c r="I25" s="5">
        <v>544.62</v>
      </c>
      <c r="J25" s="5">
        <v>630.35400000000004</v>
      </c>
      <c r="K25" s="5">
        <v>766.62599999999998</v>
      </c>
      <c r="L25" s="5">
        <v>752.94799999999998</v>
      </c>
      <c r="M25" s="5">
        <v>696.18799999999999</v>
      </c>
      <c r="N25" s="5">
        <v>604.31299999999999</v>
      </c>
      <c r="O25" s="5">
        <v>660.47799999999995</v>
      </c>
      <c r="P25" s="5">
        <v>714.27300000000002</v>
      </c>
      <c r="Q25" s="5">
        <v>669.62300000000005</v>
      </c>
      <c r="R25" s="5">
        <v>610.19600000000003</v>
      </c>
      <c r="S25" s="5">
        <v>595.70699999999999</v>
      </c>
      <c r="T25" s="5">
        <v>794.05600000000004</v>
      </c>
      <c r="U25" s="5">
        <v>678.49900000000002</v>
      </c>
      <c r="V25" s="5">
        <v>613.76099999999997</v>
      </c>
      <c r="W25" s="5">
        <v>208.477</v>
      </c>
      <c r="X25" s="5">
        <v>259.596</v>
      </c>
      <c r="Y25" s="5">
        <v>203.214</v>
      </c>
      <c r="Z25" s="5">
        <v>631.31200000000001</v>
      </c>
      <c r="AA25" s="5">
        <v>249.01599999999999</v>
      </c>
      <c r="AB25" s="5">
        <v>0</v>
      </c>
      <c r="AC25" s="5">
        <v>204.84399999999999</v>
      </c>
      <c r="AD25" s="5">
        <v>849.58100000000002</v>
      </c>
      <c r="AE25" s="5">
        <v>939.87099999999998</v>
      </c>
      <c r="AF25" s="5">
        <v>567.68899999999996</v>
      </c>
      <c r="AG25" s="5">
        <v>819.89</v>
      </c>
      <c r="AH25" s="5">
        <v>601.83299999999997</v>
      </c>
      <c r="AI25" s="5">
        <v>734.38099999999997</v>
      </c>
      <c r="AJ25" s="5">
        <v>711.42499999999995</v>
      </c>
      <c r="AK25" s="5">
        <v>943.87</v>
      </c>
      <c r="AL25" s="5">
        <v>781.51700000000005</v>
      </c>
      <c r="AM25" s="5">
        <v>985.01599999999996</v>
      </c>
      <c r="AN25" s="5">
        <v>739.40200000000004</v>
      </c>
      <c r="AO25" s="5"/>
      <c r="AP25" s="5"/>
      <c r="AQ25" s="5"/>
      <c r="AR25" s="5"/>
      <c r="AS25" s="5"/>
      <c r="AT25" s="5"/>
      <c r="AU25" s="5"/>
      <c r="AV25" s="5"/>
      <c r="AW25" s="5"/>
      <c r="AX25" s="5"/>
    </row>
    <row r="26" spans="5:50" x14ac:dyDescent="0.3">
      <c r="E26" s="5" t="s">
        <v>1495</v>
      </c>
      <c r="F26" s="5">
        <v>238.85</v>
      </c>
      <c r="G26" s="5">
        <v>923.08299999999997</v>
      </c>
      <c r="H26" s="5">
        <v>463.21499999999997</v>
      </c>
      <c r="I26" s="5">
        <v>398.529</v>
      </c>
      <c r="J26" s="5">
        <v>512.55799999999999</v>
      </c>
      <c r="K26" s="5">
        <v>790.125</v>
      </c>
      <c r="L26" s="5">
        <v>619.88699999999994</v>
      </c>
      <c r="M26" s="5">
        <v>503.77600000000001</v>
      </c>
      <c r="N26" s="5">
        <v>627.81200000000001</v>
      </c>
      <c r="O26" s="5">
        <v>550.077</v>
      </c>
      <c r="P26" s="5">
        <v>737.77200000000005</v>
      </c>
      <c r="Q26" s="5">
        <v>693.12199999999996</v>
      </c>
      <c r="R26" s="5">
        <v>424.80599999999998</v>
      </c>
      <c r="S26" s="5">
        <v>410.31700000000001</v>
      </c>
      <c r="T26" s="5">
        <v>673.38599999999997</v>
      </c>
      <c r="U26" s="5">
        <v>557.82899999999995</v>
      </c>
      <c r="V26" s="5">
        <v>637.26</v>
      </c>
      <c r="W26" s="5">
        <v>231.976</v>
      </c>
      <c r="X26" s="5">
        <v>205.964</v>
      </c>
      <c r="Y26" s="5">
        <v>110.121</v>
      </c>
      <c r="Z26" s="5">
        <v>445.92200000000003</v>
      </c>
      <c r="AA26" s="5">
        <v>272.51499999999999</v>
      </c>
      <c r="AB26" s="5">
        <v>205.13499999999999</v>
      </c>
      <c r="AC26" s="5">
        <v>0</v>
      </c>
      <c r="AD26" s="5">
        <v>873.08</v>
      </c>
      <c r="AE26" s="5">
        <v>819.20100000000002</v>
      </c>
      <c r="AF26" s="5">
        <v>591.18799999999999</v>
      </c>
      <c r="AG26" s="5">
        <v>634.5</v>
      </c>
      <c r="AH26" s="5">
        <v>394.14</v>
      </c>
      <c r="AI26" s="5">
        <v>526.68799999999999</v>
      </c>
      <c r="AJ26" s="5">
        <v>526.03499999999997</v>
      </c>
      <c r="AK26" s="5">
        <v>823.2</v>
      </c>
      <c r="AL26" s="5">
        <v>573.82399999999996</v>
      </c>
      <c r="AM26" s="5">
        <v>777.32299999999998</v>
      </c>
      <c r="AN26" s="5">
        <v>531.70899999999995</v>
      </c>
      <c r="AO26" s="5"/>
      <c r="AP26" s="5"/>
      <c r="AQ26" s="5"/>
      <c r="AR26" s="5"/>
      <c r="AS26" s="5"/>
      <c r="AT26" s="5"/>
      <c r="AU26" s="5"/>
      <c r="AV26" s="5"/>
      <c r="AW26" s="5"/>
      <c r="AX26" s="5"/>
    </row>
    <row r="27" spans="5:50" x14ac:dyDescent="0.3">
      <c r="E27" s="5" t="s">
        <v>1496</v>
      </c>
      <c r="F27" s="5">
        <v>641.13900000000001</v>
      </c>
      <c r="G27" s="5">
        <v>1086.441</v>
      </c>
      <c r="H27" s="5">
        <v>614.15700000000004</v>
      </c>
      <c r="I27" s="5">
        <v>607.75199999999995</v>
      </c>
      <c r="J27" s="5">
        <v>556.93299999999999</v>
      </c>
      <c r="K27" s="5">
        <v>148.18799999999999</v>
      </c>
      <c r="L27" s="5">
        <v>495.66500000000002</v>
      </c>
      <c r="M27" s="5">
        <v>645.14499999999998</v>
      </c>
      <c r="N27" s="5">
        <v>389.26600000000002</v>
      </c>
      <c r="O27" s="5">
        <v>574.28599999999994</v>
      </c>
      <c r="P27" s="5">
        <v>138.32300000000001</v>
      </c>
      <c r="Q27" s="5">
        <v>235.27500000000001</v>
      </c>
      <c r="R27" s="5">
        <v>1290.6669999999999</v>
      </c>
      <c r="S27" s="5">
        <v>1276.1780000000001</v>
      </c>
      <c r="T27" s="5">
        <v>587.34100000000001</v>
      </c>
      <c r="U27" s="5">
        <v>592.30700000000002</v>
      </c>
      <c r="V27" s="5">
        <v>265.61799999999999</v>
      </c>
      <c r="W27" s="5">
        <v>644.29499999999996</v>
      </c>
      <c r="X27" s="5">
        <v>720.16200000000003</v>
      </c>
      <c r="Y27" s="5">
        <v>777.01300000000003</v>
      </c>
      <c r="Z27" s="5">
        <v>1311.7829999999999</v>
      </c>
      <c r="AA27" s="5">
        <v>642.92499999999995</v>
      </c>
      <c r="AB27" s="5">
        <v>847.45799999999997</v>
      </c>
      <c r="AC27" s="5">
        <v>873.91600000000005</v>
      </c>
      <c r="AD27" s="5">
        <v>0</v>
      </c>
      <c r="AE27" s="5">
        <v>619.58199999999999</v>
      </c>
      <c r="AF27" s="5">
        <v>292.55500000000001</v>
      </c>
      <c r="AG27" s="5">
        <v>1089.6410000000001</v>
      </c>
      <c r="AH27" s="5">
        <v>812.90800000000002</v>
      </c>
      <c r="AI27" s="5">
        <v>945.45699999999999</v>
      </c>
      <c r="AJ27" s="5">
        <v>1064.673</v>
      </c>
      <c r="AK27" s="5">
        <v>737.15499999999997</v>
      </c>
      <c r="AL27" s="5">
        <v>880.35199999999998</v>
      </c>
      <c r="AM27" s="5">
        <v>1024.748</v>
      </c>
      <c r="AN27" s="5">
        <v>724.00400000000002</v>
      </c>
      <c r="AO27" s="5"/>
      <c r="AP27" s="5"/>
      <c r="AQ27" s="5"/>
      <c r="AR27" s="5"/>
      <c r="AS27" s="5"/>
      <c r="AT27" s="5"/>
      <c r="AU27" s="5"/>
      <c r="AV27" s="5"/>
      <c r="AW27" s="5"/>
      <c r="AX27" s="5"/>
    </row>
    <row r="28" spans="5:50" x14ac:dyDescent="0.3">
      <c r="E28" s="5" t="s">
        <v>1497</v>
      </c>
      <c r="F28" s="5">
        <v>731.42899999999997</v>
      </c>
      <c r="G28" s="5">
        <v>544.75800000000004</v>
      </c>
      <c r="H28" s="5">
        <v>366.06</v>
      </c>
      <c r="I28" s="5">
        <v>429.67899999999997</v>
      </c>
      <c r="J28" s="5">
        <v>357.55399999999997</v>
      </c>
      <c r="K28" s="5">
        <v>484.69499999999999</v>
      </c>
      <c r="L28" s="5">
        <v>237.90100000000001</v>
      </c>
      <c r="M28" s="5">
        <v>397.048</v>
      </c>
      <c r="N28" s="5">
        <v>422.43700000000001</v>
      </c>
      <c r="O28" s="5">
        <v>286.63400000000001</v>
      </c>
      <c r="P28" s="5">
        <v>574.75199999999995</v>
      </c>
      <c r="Q28" s="5">
        <v>439.81599999999997</v>
      </c>
      <c r="R28" s="5">
        <v>940.56100000000004</v>
      </c>
      <c r="S28" s="5">
        <v>926.072</v>
      </c>
      <c r="T28" s="5">
        <v>168.78700000000001</v>
      </c>
      <c r="U28" s="5">
        <v>282.221</v>
      </c>
      <c r="V28" s="5">
        <v>556.78</v>
      </c>
      <c r="W28" s="5">
        <v>734.49300000000005</v>
      </c>
      <c r="X28" s="5">
        <v>736.35</v>
      </c>
      <c r="Y28" s="5">
        <v>867.21100000000001</v>
      </c>
      <c r="Z28" s="5">
        <v>961.67700000000002</v>
      </c>
      <c r="AA28" s="5">
        <v>699.625</v>
      </c>
      <c r="AB28" s="5">
        <v>937.65599999999995</v>
      </c>
      <c r="AC28" s="5">
        <v>821.01099999999997</v>
      </c>
      <c r="AD28" s="5">
        <v>619.44299999999998</v>
      </c>
      <c r="AE28" s="5">
        <v>0</v>
      </c>
      <c r="AF28" s="5">
        <v>519.90700000000004</v>
      </c>
      <c r="AG28" s="5">
        <v>699.88300000000004</v>
      </c>
      <c r="AH28" s="5">
        <v>564.81100000000004</v>
      </c>
      <c r="AI28" s="5">
        <v>679.89599999999996</v>
      </c>
      <c r="AJ28" s="5">
        <v>715.46</v>
      </c>
      <c r="AK28" s="5">
        <v>194.74600000000001</v>
      </c>
      <c r="AL28" s="5">
        <v>493.31099999999998</v>
      </c>
      <c r="AM28" s="5">
        <v>625.76400000000001</v>
      </c>
      <c r="AN28" s="5">
        <v>397.41199999999998</v>
      </c>
      <c r="AO28" s="5"/>
      <c r="AP28" s="5"/>
      <c r="AQ28" s="5"/>
      <c r="AR28" s="5"/>
      <c r="AS28" s="5"/>
      <c r="AT28" s="5"/>
      <c r="AU28" s="5"/>
      <c r="AV28" s="5"/>
      <c r="AW28" s="5"/>
      <c r="AX28" s="5"/>
    </row>
    <row r="29" spans="5:50" x14ac:dyDescent="0.3">
      <c r="E29" s="5" t="s">
        <v>1498</v>
      </c>
      <c r="F29" s="5">
        <v>359.24700000000001</v>
      </c>
      <c r="G29" s="5">
        <v>896.98599999999999</v>
      </c>
      <c r="H29" s="5">
        <v>341.654</v>
      </c>
      <c r="I29" s="5">
        <v>335.24900000000002</v>
      </c>
      <c r="J29" s="5">
        <v>306.80799999999999</v>
      </c>
      <c r="K29" s="5">
        <v>215.083</v>
      </c>
      <c r="L29" s="5">
        <v>306.20999999999998</v>
      </c>
      <c r="M29" s="5">
        <v>372.642</v>
      </c>
      <c r="N29" s="5">
        <v>116.76300000000001</v>
      </c>
      <c r="O29" s="5">
        <v>337.15800000000002</v>
      </c>
      <c r="P29" s="5">
        <v>157.25200000000001</v>
      </c>
      <c r="Q29" s="5">
        <v>118.08</v>
      </c>
      <c r="R29" s="5">
        <v>1011.538</v>
      </c>
      <c r="S29" s="5">
        <v>997.04899999999998</v>
      </c>
      <c r="T29" s="5">
        <v>397.88600000000002</v>
      </c>
      <c r="U29" s="5">
        <v>355.17899999999997</v>
      </c>
      <c r="V29" s="5">
        <v>56.74</v>
      </c>
      <c r="W29" s="5">
        <v>362.44200000000001</v>
      </c>
      <c r="X29" s="5">
        <v>438.30900000000003</v>
      </c>
      <c r="Y29" s="5">
        <v>495.16</v>
      </c>
      <c r="Z29" s="5">
        <v>1032.654</v>
      </c>
      <c r="AA29" s="5">
        <v>361.072</v>
      </c>
      <c r="AB29" s="5">
        <v>565.60500000000002</v>
      </c>
      <c r="AC29" s="5">
        <v>592.06299999999999</v>
      </c>
      <c r="AD29" s="5">
        <v>292.56</v>
      </c>
      <c r="AE29" s="5">
        <v>519.38699999999994</v>
      </c>
      <c r="AF29" s="5">
        <v>0</v>
      </c>
      <c r="AG29" s="5">
        <v>817.13800000000003</v>
      </c>
      <c r="AH29" s="5">
        <v>540.40499999999997</v>
      </c>
      <c r="AI29" s="5">
        <v>672.95299999999997</v>
      </c>
      <c r="AJ29" s="5">
        <v>792.17</v>
      </c>
      <c r="AK29" s="5">
        <v>547.70000000000005</v>
      </c>
      <c r="AL29" s="5">
        <v>676.73400000000004</v>
      </c>
      <c r="AM29" s="5">
        <v>821.13</v>
      </c>
      <c r="AN29" s="5">
        <v>451.50099999999998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</row>
    <row r="30" spans="5:50" x14ac:dyDescent="0.3">
      <c r="E30" s="5" t="s">
        <v>1499</v>
      </c>
      <c r="F30" s="5">
        <v>673.74099999999999</v>
      </c>
      <c r="G30" s="5">
        <v>427.97500000000002</v>
      </c>
      <c r="H30" s="5">
        <v>484.68599999999998</v>
      </c>
      <c r="I30" s="5">
        <v>482.274</v>
      </c>
      <c r="J30" s="5">
        <v>535.78899999999999</v>
      </c>
      <c r="K30" s="5">
        <v>950.2</v>
      </c>
      <c r="L30" s="5">
        <v>597.49300000000005</v>
      </c>
      <c r="M30" s="5">
        <v>463.10899999999998</v>
      </c>
      <c r="N30" s="5">
        <v>720.86099999999999</v>
      </c>
      <c r="O30" s="5">
        <v>551.14400000000001</v>
      </c>
      <c r="P30" s="5">
        <v>955.71600000000001</v>
      </c>
      <c r="Q30" s="5">
        <v>853.82399999999996</v>
      </c>
      <c r="R30" s="5">
        <v>414.27800000000002</v>
      </c>
      <c r="S30" s="5">
        <v>399.78899999999999</v>
      </c>
      <c r="T30" s="5">
        <v>547.61300000000006</v>
      </c>
      <c r="U30" s="5">
        <v>546.73099999999999</v>
      </c>
      <c r="V30" s="5">
        <v>855.20399999999995</v>
      </c>
      <c r="W30" s="5">
        <v>672.92399999999998</v>
      </c>
      <c r="X30" s="5">
        <v>586.76499999999999</v>
      </c>
      <c r="Y30" s="5">
        <v>711.00099999999998</v>
      </c>
      <c r="Z30" s="5">
        <v>435.39400000000001</v>
      </c>
      <c r="AA30" s="5">
        <v>635.74199999999996</v>
      </c>
      <c r="AB30" s="5">
        <v>819.80399999999997</v>
      </c>
      <c r="AC30" s="5">
        <v>634.66499999999996</v>
      </c>
      <c r="AD30" s="5">
        <v>1084.9480000000001</v>
      </c>
      <c r="AE30" s="5">
        <v>699.09900000000005</v>
      </c>
      <c r="AF30" s="5">
        <v>818.33100000000002</v>
      </c>
      <c r="AG30" s="5">
        <v>0</v>
      </c>
      <c r="AH30" s="5">
        <v>283.63900000000001</v>
      </c>
      <c r="AI30" s="5">
        <v>168.15700000000001</v>
      </c>
      <c r="AJ30" s="5">
        <v>114.416</v>
      </c>
      <c r="AK30" s="5">
        <v>561.35199999999998</v>
      </c>
      <c r="AL30" s="5">
        <v>208.369</v>
      </c>
      <c r="AM30" s="5">
        <v>310.05900000000003</v>
      </c>
      <c r="AN30" s="5">
        <v>349.88200000000001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</row>
    <row r="31" spans="5:50" x14ac:dyDescent="0.3">
      <c r="E31" s="5" t="s">
        <v>1500</v>
      </c>
      <c r="F31" s="5">
        <v>397.00799999999998</v>
      </c>
      <c r="G31" s="5">
        <v>606.99400000000003</v>
      </c>
      <c r="H31" s="5">
        <v>205.04900000000001</v>
      </c>
      <c r="I31" s="5">
        <v>202.637</v>
      </c>
      <c r="J31" s="5">
        <v>256.15199999999999</v>
      </c>
      <c r="K31" s="5">
        <v>681.90899999999999</v>
      </c>
      <c r="L31" s="5">
        <v>363.48099999999999</v>
      </c>
      <c r="M31" s="5">
        <v>183.47200000000001</v>
      </c>
      <c r="N31" s="5">
        <v>441.22399999999999</v>
      </c>
      <c r="O31" s="5">
        <v>293.67099999999999</v>
      </c>
      <c r="P31" s="5">
        <v>676.07899999999995</v>
      </c>
      <c r="Q31" s="5">
        <v>585.53300000000002</v>
      </c>
      <c r="R31" s="5">
        <v>482.899</v>
      </c>
      <c r="S31" s="5">
        <v>468.41</v>
      </c>
      <c r="T31" s="5">
        <v>416.98</v>
      </c>
      <c r="U31" s="5">
        <v>301.423</v>
      </c>
      <c r="V31" s="5">
        <v>575.56700000000001</v>
      </c>
      <c r="W31" s="5">
        <v>393.28699999999998</v>
      </c>
      <c r="X31" s="5">
        <v>307.12799999999999</v>
      </c>
      <c r="Y31" s="5">
        <v>431.36399999999998</v>
      </c>
      <c r="Z31" s="5">
        <v>504.01499999999999</v>
      </c>
      <c r="AA31" s="5">
        <v>356.10500000000002</v>
      </c>
      <c r="AB31" s="5">
        <v>596.45000000000005</v>
      </c>
      <c r="AC31" s="5">
        <v>391.78899999999999</v>
      </c>
      <c r="AD31" s="5">
        <v>811.38699999999994</v>
      </c>
      <c r="AE31" s="5">
        <v>562.79499999999996</v>
      </c>
      <c r="AF31" s="5">
        <v>538.69399999999996</v>
      </c>
      <c r="AG31" s="5">
        <v>281.87299999999999</v>
      </c>
      <c r="AH31" s="5">
        <v>0</v>
      </c>
      <c r="AI31" s="5">
        <v>137.68799999999999</v>
      </c>
      <c r="AJ31" s="5">
        <v>256.90499999999997</v>
      </c>
      <c r="AK31" s="5">
        <v>566.79399999999998</v>
      </c>
      <c r="AL31" s="5">
        <v>260.01600000000002</v>
      </c>
      <c r="AM31" s="5">
        <v>461.23399999999998</v>
      </c>
      <c r="AN31" s="5">
        <v>179.21299999999999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</row>
    <row r="32" spans="5:50" x14ac:dyDescent="0.3">
      <c r="E32" s="5" t="s">
        <v>1501</v>
      </c>
      <c r="F32" s="5">
        <v>529.55600000000004</v>
      </c>
      <c r="G32" s="5">
        <v>532.74199999999996</v>
      </c>
      <c r="H32" s="5">
        <v>338.93900000000002</v>
      </c>
      <c r="I32" s="5">
        <v>336.52699999999999</v>
      </c>
      <c r="J32" s="5">
        <v>390.04199999999997</v>
      </c>
      <c r="K32" s="5">
        <v>815.8</v>
      </c>
      <c r="L32" s="5">
        <v>497.37099999999998</v>
      </c>
      <c r="M32" s="5">
        <v>317.36200000000002</v>
      </c>
      <c r="N32" s="5">
        <v>575.11500000000001</v>
      </c>
      <c r="O32" s="5">
        <v>427.56099999999998</v>
      </c>
      <c r="P32" s="5">
        <v>809.97</v>
      </c>
      <c r="Q32" s="5">
        <v>719.42399999999998</v>
      </c>
      <c r="R32" s="5">
        <v>347.43599999999998</v>
      </c>
      <c r="S32" s="5">
        <v>332.947</v>
      </c>
      <c r="T32" s="5">
        <v>527.58900000000006</v>
      </c>
      <c r="U32" s="5">
        <v>435.31299999999999</v>
      </c>
      <c r="V32" s="5">
        <v>709.45799999999997</v>
      </c>
      <c r="W32" s="5">
        <v>527.178</v>
      </c>
      <c r="X32" s="5">
        <v>441.01799999999997</v>
      </c>
      <c r="Y32" s="5">
        <v>565.255</v>
      </c>
      <c r="Z32" s="5">
        <v>368.55200000000002</v>
      </c>
      <c r="AA32" s="5">
        <v>489.995</v>
      </c>
      <c r="AB32" s="5">
        <v>730.34100000000001</v>
      </c>
      <c r="AC32" s="5">
        <v>525.67999999999995</v>
      </c>
      <c r="AD32" s="5">
        <v>945.27800000000002</v>
      </c>
      <c r="AE32" s="5">
        <v>679.07500000000005</v>
      </c>
      <c r="AF32" s="5">
        <v>672.58500000000004</v>
      </c>
      <c r="AG32" s="5">
        <v>168.38200000000001</v>
      </c>
      <c r="AH32" s="5">
        <v>137.892</v>
      </c>
      <c r="AI32" s="5">
        <v>0</v>
      </c>
      <c r="AJ32" s="5">
        <v>143.41399999999999</v>
      </c>
      <c r="AK32" s="5">
        <v>557.41600000000005</v>
      </c>
      <c r="AL32" s="5">
        <v>188.34399999999999</v>
      </c>
      <c r="AM32" s="5">
        <v>386.98099999999999</v>
      </c>
      <c r="AN32" s="5">
        <v>239.97399999999999</v>
      </c>
      <c r="AO32" s="5"/>
      <c r="AP32" s="5"/>
      <c r="AQ32" s="5"/>
      <c r="AR32" s="5"/>
      <c r="AS32" s="5"/>
      <c r="AT32" s="5"/>
      <c r="AU32" s="5"/>
      <c r="AV32" s="5"/>
      <c r="AW32" s="5"/>
      <c r="AX32" s="5"/>
    </row>
    <row r="33" spans="5:50" x14ac:dyDescent="0.3">
      <c r="E33" s="5" t="s">
        <v>1502</v>
      </c>
      <c r="F33" s="5">
        <v>648.77300000000002</v>
      </c>
      <c r="G33" s="5">
        <v>543.40599999999995</v>
      </c>
      <c r="H33" s="5">
        <v>457.68700000000001</v>
      </c>
      <c r="I33" s="5">
        <v>455.27499999999998</v>
      </c>
      <c r="J33" s="5">
        <v>508.79</v>
      </c>
      <c r="K33" s="5">
        <v>934.54700000000003</v>
      </c>
      <c r="L33" s="5">
        <v>613.01099999999997</v>
      </c>
      <c r="M33" s="5">
        <v>436.11</v>
      </c>
      <c r="N33" s="5">
        <v>693.86199999999997</v>
      </c>
      <c r="O33" s="5">
        <v>546.30899999999997</v>
      </c>
      <c r="P33" s="5">
        <v>928.71699999999998</v>
      </c>
      <c r="Q33" s="5">
        <v>838.17100000000005</v>
      </c>
      <c r="R33" s="5">
        <v>307.76600000000002</v>
      </c>
      <c r="S33" s="5">
        <v>293.27699999999999</v>
      </c>
      <c r="T33" s="5">
        <v>563.13099999999997</v>
      </c>
      <c r="U33" s="5">
        <v>562.24900000000002</v>
      </c>
      <c r="V33" s="5">
        <v>828.20500000000004</v>
      </c>
      <c r="W33" s="5">
        <v>645.92499999999995</v>
      </c>
      <c r="X33" s="5">
        <v>559.76599999999996</v>
      </c>
      <c r="Y33" s="5">
        <v>633.54399999999998</v>
      </c>
      <c r="Z33" s="5">
        <v>328.88200000000001</v>
      </c>
      <c r="AA33" s="5">
        <v>608.74300000000005</v>
      </c>
      <c r="AB33" s="5">
        <v>713.29200000000003</v>
      </c>
      <c r="AC33" s="5">
        <v>528.15300000000002</v>
      </c>
      <c r="AD33" s="5">
        <v>1064.0250000000001</v>
      </c>
      <c r="AE33" s="5">
        <v>714.61699999999996</v>
      </c>
      <c r="AF33" s="5">
        <v>791.33199999999999</v>
      </c>
      <c r="AG33" s="5">
        <v>107.30500000000001</v>
      </c>
      <c r="AH33" s="5">
        <v>256.64</v>
      </c>
      <c r="AI33" s="5">
        <v>141.15799999999999</v>
      </c>
      <c r="AJ33" s="5">
        <v>0</v>
      </c>
      <c r="AK33" s="5">
        <v>592.95799999999997</v>
      </c>
      <c r="AL33" s="5">
        <v>223.887</v>
      </c>
      <c r="AM33" s="5">
        <v>397.64600000000002</v>
      </c>
      <c r="AN33" s="5">
        <v>357.99700000000001</v>
      </c>
      <c r="AO33" s="5"/>
      <c r="AP33" s="5"/>
      <c r="AQ33" s="5"/>
      <c r="AR33" s="5"/>
      <c r="AS33" s="5"/>
      <c r="AT33" s="5"/>
      <c r="AU33" s="5"/>
      <c r="AV33" s="5"/>
      <c r="AW33" s="5"/>
      <c r="AX33" s="5"/>
    </row>
    <row r="34" spans="5:50" x14ac:dyDescent="0.3">
      <c r="E34" s="5" t="s">
        <v>1503</v>
      </c>
      <c r="F34" s="5">
        <v>735.428</v>
      </c>
      <c r="G34" s="5">
        <v>378.101</v>
      </c>
      <c r="H34" s="5">
        <v>369.18</v>
      </c>
      <c r="I34" s="5">
        <v>432.79899999999998</v>
      </c>
      <c r="J34" s="5">
        <v>360.67399999999998</v>
      </c>
      <c r="K34" s="5">
        <v>602.41899999999998</v>
      </c>
      <c r="L34" s="5">
        <v>249.71199999999999</v>
      </c>
      <c r="M34" s="5">
        <v>400.16800000000001</v>
      </c>
      <c r="N34" s="5">
        <v>450.46800000000002</v>
      </c>
      <c r="O34" s="5">
        <v>289.75400000000002</v>
      </c>
      <c r="P34" s="5">
        <v>640.97900000000004</v>
      </c>
      <c r="Q34" s="5">
        <v>506.04300000000001</v>
      </c>
      <c r="R34" s="5">
        <v>818.11599999999999</v>
      </c>
      <c r="S34" s="5">
        <v>803.62699999999995</v>
      </c>
      <c r="T34" s="5">
        <v>162.732</v>
      </c>
      <c r="U34" s="5">
        <v>285.34100000000001</v>
      </c>
      <c r="V34" s="5">
        <v>584.81100000000004</v>
      </c>
      <c r="W34" s="5">
        <v>737.61300000000006</v>
      </c>
      <c r="X34" s="5">
        <v>739.47</v>
      </c>
      <c r="Y34" s="5">
        <v>870.33100000000002</v>
      </c>
      <c r="Z34" s="5">
        <v>839.23199999999997</v>
      </c>
      <c r="AA34" s="5">
        <v>702.745</v>
      </c>
      <c r="AB34" s="5">
        <v>940.77599999999995</v>
      </c>
      <c r="AC34" s="5">
        <v>824.13099999999997</v>
      </c>
      <c r="AD34" s="5">
        <v>737.16700000000003</v>
      </c>
      <c r="AE34" s="5">
        <v>196.251</v>
      </c>
      <c r="AF34" s="5">
        <v>547.93799999999999</v>
      </c>
      <c r="AG34" s="5">
        <v>560.60199999999998</v>
      </c>
      <c r="AH34" s="5">
        <v>567.93100000000004</v>
      </c>
      <c r="AI34" s="5">
        <v>557.45100000000002</v>
      </c>
      <c r="AJ34" s="5">
        <v>593.01499999999999</v>
      </c>
      <c r="AK34" s="5">
        <v>0</v>
      </c>
      <c r="AL34" s="5">
        <v>370.86599999999999</v>
      </c>
      <c r="AM34" s="5">
        <v>383.22699999999998</v>
      </c>
      <c r="AN34" s="5">
        <v>384.524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</row>
    <row r="35" spans="5:50" x14ac:dyDescent="0.3">
      <c r="E35" s="5" t="s">
        <v>1504</v>
      </c>
      <c r="F35" s="5">
        <v>576.69200000000001</v>
      </c>
      <c r="G35" s="5">
        <v>349.678</v>
      </c>
      <c r="H35" s="5">
        <v>315.166</v>
      </c>
      <c r="I35" s="5">
        <v>312.75400000000002</v>
      </c>
      <c r="J35" s="5">
        <v>416.39499999999998</v>
      </c>
      <c r="K35" s="5">
        <v>744.53099999999995</v>
      </c>
      <c r="L35" s="5">
        <v>391.82400000000001</v>
      </c>
      <c r="M35" s="5">
        <v>243.06700000000001</v>
      </c>
      <c r="N35" s="5">
        <v>579.25800000000004</v>
      </c>
      <c r="O35" s="5">
        <v>345.47500000000002</v>
      </c>
      <c r="P35" s="5">
        <v>783.09100000000001</v>
      </c>
      <c r="Q35" s="5">
        <v>648.15499999999997</v>
      </c>
      <c r="R35" s="5">
        <v>449.31400000000002</v>
      </c>
      <c r="S35" s="5">
        <v>434.82499999999999</v>
      </c>
      <c r="T35" s="5">
        <v>341.94400000000002</v>
      </c>
      <c r="U35" s="5">
        <v>341.06200000000001</v>
      </c>
      <c r="V35" s="5">
        <v>713.601</v>
      </c>
      <c r="W35" s="5">
        <v>575.49900000000002</v>
      </c>
      <c r="X35" s="5">
        <v>489.34</v>
      </c>
      <c r="Y35" s="5">
        <v>613.57600000000002</v>
      </c>
      <c r="Z35" s="5">
        <v>470.43</v>
      </c>
      <c r="AA35" s="5">
        <v>538.31700000000001</v>
      </c>
      <c r="AB35" s="5">
        <v>778.66200000000003</v>
      </c>
      <c r="AC35" s="5">
        <v>574.00099999999998</v>
      </c>
      <c r="AD35" s="5">
        <v>879.279</v>
      </c>
      <c r="AE35" s="5">
        <v>493.43</v>
      </c>
      <c r="AF35" s="5">
        <v>676.72799999999995</v>
      </c>
      <c r="AG35" s="5">
        <v>208.636</v>
      </c>
      <c r="AH35" s="5">
        <v>261.50799999999998</v>
      </c>
      <c r="AI35" s="5">
        <v>188.649</v>
      </c>
      <c r="AJ35" s="5">
        <v>224.21299999999999</v>
      </c>
      <c r="AK35" s="5">
        <v>371.77100000000002</v>
      </c>
      <c r="AL35" s="5">
        <v>0</v>
      </c>
      <c r="AM35" s="5">
        <v>203.91800000000001</v>
      </c>
      <c r="AN35" s="5">
        <v>157.952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</row>
    <row r="36" spans="5:50" x14ac:dyDescent="0.3">
      <c r="E36" s="5" t="s">
        <v>1505</v>
      </c>
      <c r="F36" s="5">
        <v>780.19100000000003</v>
      </c>
      <c r="G36" s="5">
        <v>148.92500000000001</v>
      </c>
      <c r="H36" s="5">
        <v>569.15899999999999</v>
      </c>
      <c r="I36" s="5">
        <v>514.83699999999999</v>
      </c>
      <c r="J36" s="5">
        <v>560.65300000000002</v>
      </c>
      <c r="K36" s="5">
        <v>888.78899999999999</v>
      </c>
      <c r="L36" s="5">
        <v>536.08199999999999</v>
      </c>
      <c r="M36" s="5">
        <v>415.27300000000002</v>
      </c>
      <c r="N36" s="5">
        <v>723.51599999999996</v>
      </c>
      <c r="O36" s="5">
        <v>489.733</v>
      </c>
      <c r="P36" s="5">
        <v>927.34900000000005</v>
      </c>
      <c r="Q36" s="5">
        <v>792.41300000000001</v>
      </c>
      <c r="R36" s="5">
        <v>647.07600000000002</v>
      </c>
      <c r="S36" s="5">
        <v>632.58699999999999</v>
      </c>
      <c r="T36" s="5">
        <v>486.202</v>
      </c>
      <c r="U36" s="5">
        <v>485.32</v>
      </c>
      <c r="V36" s="5">
        <v>857.85900000000004</v>
      </c>
      <c r="W36" s="5">
        <v>777.58199999999999</v>
      </c>
      <c r="X36" s="5">
        <v>691.423</v>
      </c>
      <c r="Y36" s="5">
        <v>815.65899999999999</v>
      </c>
      <c r="Z36" s="5">
        <v>668.19200000000001</v>
      </c>
      <c r="AA36" s="5">
        <v>740.4</v>
      </c>
      <c r="AB36" s="5">
        <v>980.745</v>
      </c>
      <c r="AC36" s="5">
        <v>776.08399999999995</v>
      </c>
      <c r="AD36" s="5">
        <v>1023.537</v>
      </c>
      <c r="AE36" s="5">
        <v>627.601</v>
      </c>
      <c r="AF36" s="5">
        <v>820.98599999999999</v>
      </c>
      <c r="AG36" s="5">
        <v>274.07600000000002</v>
      </c>
      <c r="AH36" s="5">
        <v>462.58600000000001</v>
      </c>
      <c r="AI36" s="5">
        <v>386.411</v>
      </c>
      <c r="AJ36" s="5">
        <v>396.935</v>
      </c>
      <c r="AK36" s="5">
        <v>382.81900000000002</v>
      </c>
      <c r="AL36" s="5">
        <v>203.142</v>
      </c>
      <c r="AM36" s="5">
        <v>0</v>
      </c>
      <c r="AN36" s="5">
        <v>328.012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</row>
    <row r="37" spans="5:50" x14ac:dyDescent="0.3">
      <c r="E37" s="5" t="s">
        <v>1506</v>
      </c>
      <c r="F37" s="5">
        <v>534.577</v>
      </c>
      <c r="G37" s="5">
        <v>473.96600000000001</v>
      </c>
      <c r="H37" s="5">
        <v>116.782</v>
      </c>
      <c r="I37" s="5">
        <v>190.59800000000001</v>
      </c>
      <c r="J37" s="5">
        <v>167.88499999999999</v>
      </c>
      <c r="K37" s="5">
        <v>593.64200000000005</v>
      </c>
      <c r="L37" s="5">
        <v>264.97800000000001</v>
      </c>
      <c r="M37" s="5">
        <v>77.162000000000006</v>
      </c>
      <c r="N37" s="5">
        <v>352.95699999999999</v>
      </c>
      <c r="O37" s="5">
        <v>226.749</v>
      </c>
      <c r="P37" s="5">
        <v>587.81200000000001</v>
      </c>
      <c r="Q37" s="5">
        <v>497.26600000000002</v>
      </c>
      <c r="R37" s="5">
        <v>581.75</v>
      </c>
      <c r="S37" s="5">
        <v>567.26099999999997</v>
      </c>
      <c r="T37" s="5">
        <v>245.61600000000001</v>
      </c>
      <c r="U37" s="5">
        <v>191.07499999999999</v>
      </c>
      <c r="V37" s="5">
        <v>487.3</v>
      </c>
      <c r="W37" s="5">
        <v>532.13800000000003</v>
      </c>
      <c r="X37" s="5">
        <v>445.97899999999998</v>
      </c>
      <c r="Y37" s="5">
        <v>570.21500000000003</v>
      </c>
      <c r="Z37" s="5">
        <v>602.86599999999999</v>
      </c>
      <c r="AA37" s="5">
        <v>494.95600000000002</v>
      </c>
      <c r="AB37" s="5">
        <v>735.30100000000004</v>
      </c>
      <c r="AC37" s="5">
        <v>530.64</v>
      </c>
      <c r="AD37" s="5">
        <v>723.12</v>
      </c>
      <c r="AE37" s="5">
        <v>397.10199999999998</v>
      </c>
      <c r="AF37" s="5">
        <v>450.42700000000002</v>
      </c>
      <c r="AG37" s="5">
        <v>349.49200000000002</v>
      </c>
      <c r="AH37" s="5">
        <v>179.476</v>
      </c>
      <c r="AI37" s="5">
        <v>237.92699999999999</v>
      </c>
      <c r="AJ37" s="5">
        <v>356.649</v>
      </c>
      <c r="AK37" s="5">
        <v>384.43400000000003</v>
      </c>
      <c r="AL37" s="5">
        <v>157.88900000000001</v>
      </c>
      <c r="AM37" s="5">
        <v>328.20600000000002</v>
      </c>
      <c r="AN37" s="5">
        <v>0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</row>
    <row r="38" spans="5:50" x14ac:dyDescent="0.3">
      <c r="E38" t="s">
        <v>1472</v>
      </c>
      <c r="F38" s="5" cm="1">
        <f t="array" ref="F38">GetDistance($E38,F$2,$B$9)</f>
        <v>569.726</v>
      </c>
      <c r="G38" s="5" cm="1">
        <f t="array" ref="G38">GetDistance($E38,G$2,$B$9)</f>
        <v>518.21500000000003</v>
      </c>
      <c r="H38" s="5" cm="1">
        <f t="array" ref="H38">GetDistance($E38,H$2,$B$9)</f>
        <v>203.74700000000001</v>
      </c>
      <c r="I38" s="5" cm="1">
        <f t="array" ref="I38">GetDistance($E38,I$2,$B$9)</f>
        <v>266.43299999999999</v>
      </c>
      <c r="J38" s="5" cm="1">
        <f t="array" ref="J38">GetDistance($E38,J$2,$B$9)</f>
        <v>195.22800000000001</v>
      </c>
      <c r="K38" s="5" cm="1">
        <f t="array" ref="K38">GetDistance($E38,K$2,$B$9)</f>
        <v>436.29</v>
      </c>
      <c r="L38" s="5" cm="1">
        <f t="array" ref="L38">GetDistance($E38,L$2,$B$9)</f>
        <v>83.186000000000007</v>
      </c>
      <c r="M38" s="5" cm="1">
        <f t="array" ref="M38">GetDistance($E38,M$2,$B$9)</f>
        <v>233.56299999999999</v>
      </c>
      <c r="N38" s="5" cm="1">
        <f t="array" ref="N38">GetDistance($E38,N$2,$B$9)</f>
        <v>285.69</v>
      </c>
      <c r="O38" s="5" cm="1">
        <f t="array" ref="O38">GetDistance($E38,O$2,$B$9)</f>
        <v>124.232</v>
      </c>
      <c r="P38" s="5" cm="1">
        <f t="array" ref="P38">GetDistance($E38,P$2,$B$9)</f>
        <v>475.33</v>
      </c>
      <c r="Q38" s="5" cm="1">
        <f t="array" ref="Q38">GetDistance($E38,Q$2,$B$9)</f>
        <v>340.459</v>
      </c>
      <c r="R38" s="5" cm="1">
        <f t="array" ref="R38">GetDistance($E38,R$2,$B$9)</f>
        <v>771.428</v>
      </c>
      <c r="S38" s="5" cm="1">
        <f t="array" ref="S38">GetDistance($E38,S$2,$B$9)</f>
        <v>756.976</v>
      </c>
      <c r="T38" s="5" cm="1">
        <f t="array" ref="T38">GetDistance($E38,T$2,$B$9)</f>
        <v>19.359000000000002</v>
      </c>
      <c r="U38" s="5" cm="1">
        <f t="array" ref="U38">GetDistance($E38,U$2,$B$9)</f>
        <v>120.58199999999999</v>
      </c>
      <c r="V38" s="5" cm="1">
        <f t="array" ref="V38">GetDistance($E38,V$2,$B$9)</f>
        <v>419.59300000000002</v>
      </c>
      <c r="W38" s="5" cm="1">
        <f t="array" ref="W38">GetDistance($E38,W$2,$B$9)</f>
        <v>573</v>
      </c>
      <c r="X38" s="5" cm="1">
        <f t="array" ref="X38">GetDistance($E38,X$2,$B$9)</f>
        <v>572.83600000000001</v>
      </c>
      <c r="Y38" s="5" cm="1">
        <f t="array" ref="Y38">GetDistance($E38,Y$2,$B$9)</f>
        <v>695.89400000000001</v>
      </c>
      <c r="Z38" s="5" cm="1">
        <f t="array" ref="Z38">GetDistance($E38,Z$2,$B$9)</f>
        <v>790.77800000000002</v>
      </c>
      <c r="AA38" s="5" cm="1">
        <f t="array" ref="AA38">GetDistance($E38,AA$2,$B$9)</f>
        <v>537.18899999999996</v>
      </c>
      <c r="AB38" s="5" cm="1">
        <f t="array" ref="AB38">GetDistance($E38,AB$2,$B$9)</f>
        <v>778.16800000000001</v>
      </c>
      <c r="AC38" s="5" cm="1">
        <f t="array" ref="AC38">GetDistance($E38,AC$2,$B$9)</f>
        <v>657.49800000000005</v>
      </c>
      <c r="AD38" s="5" cm="1">
        <f t="array" ref="AD38">GetDistance($E38,AD$2,$B$9)</f>
        <v>571.45299999999997</v>
      </c>
      <c r="AE38" s="5" cm="1">
        <f t="array" ref="AE38">GetDistance($E38,AE$2,$B$9)</f>
        <v>175.53399999999999</v>
      </c>
      <c r="AF38" s="5" cm="1">
        <f t="array" ref="AF38">GetDistance($E38,AF$2,$B$9)</f>
        <v>381.99799999999999</v>
      </c>
      <c r="AG38" s="5" cm="1">
        <f t="array" ref="AG38">GetDistance($E38,AG$2,$B$9)</f>
        <v>530.70500000000004</v>
      </c>
      <c r="AH38" s="5" cm="1">
        <f t="array" ref="AH38">GetDistance($E38,AH$2,$B$9)</f>
        <v>401.09199999999998</v>
      </c>
      <c r="AI38" s="5" cm="1">
        <f t="array" ref="AI38">GetDistance($E38,AI$2,$B$9)</f>
        <v>510.68</v>
      </c>
      <c r="AJ38" s="5" cm="1">
        <f t="array" ref="AJ38">GetDistance($E38,AJ$2,$B$9)</f>
        <v>546.22299999999996</v>
      </c>
      <c r="AK38" s="5" cm="1">
        <f t="array" ref="AK38">GetDistance($E38,AK$2,$B$9)</f>
        <v>169.47900000000001</v>
      </c>
      <c r="AL38" s="5" cm="1">
        <f t="array" ref="AL38">GetDistance($E38,AL$2,$B$9)</f>
        <v>325.036</v>
      </c>
      <c r="AM38" s="5" cm="1">
        <f t="array" ref="AM38">GetDistance($E38,AM$2,$B$9)</f>
        <v>469.29399999999998</v>
      </c>
      <c r="AN38" s="5" cm="1">
        <f t="array" ref="AN38">GetDistance($E38,AN$2,$B$9)</f>
        <v>228.708</v>
      </c>
      <c r="AO38" s="5" cm="1">
        <f t="array" ref="AO38">GetDistance($E38,AO$2,$B$9)</f>
        <v>0</v>
      </c>
      <c r="AP38" s="5" cm="1">
        <f t="array" ref="AP38">GetDistance($E38,AP$2,$B$9)</f>
        <v>588.66</v>
      </c>
      <c r="AQ38" s="5" cm="1">
        <f t="array" ref="AQ38">GetDistance($E38,AQ$2,$B$9)</f>
        <v>883.98099999999999</v>
      </c>
      <c r="AR38" s="5"/>
      <c r="AS38" s="5"/>
      <c r="AT38" s="5"/>
      <c r="AU38" s="5"/>
      <c r="AV38" s="5"/>
      <c r="AW38" s="5"/>
      <c r="AX38" s="5"/>
    </row>
    <row r="39" spans="5:50" x14ac:dyDescent="0.3">
      <c r="E39" t="s">
        <v>1507</v>
      </c>
      <c r="F39" s="5" cm="1">
        <f t="array" ref="F39">GetDistance($E39,F$2,$B$9)</f>
        <v>26.097000000000001</v>
      </c>
      <c r="G39" s="5" cm="1">
        <f t="array" ref="G39">GetDistance($E39,G$2,$B$9)</f>
        <v>939.82299999999998</v>
      </c>
      <c r="H39" s="5" cm="1">
        <f t="array" ref="H39">GetDistance($E39,H$2,$B$9)</f>
        <v>419.85</v>
      </c>
      <c r="I39" s="5" cm="1">
        <f t="array" ref="I39">GetDistance($E39,I$2,$B$9)</f>
        <v>355.14299999999997</v>
      </c>
      <c r="J39" s="5" cm="1">
        <f t="array" ref="J39">GetDistance($E39,J$2,$B$9)</f>
        <v>437.637</v>
      </c>
      <c r="K39" s="5" cm="1">
        <f t="array" ref="K39">GetDistance($E39,K$2,$B$9)</f>
        <v>577.77200000000005</v>
      </c>
      <c r="L39" s="5" cm="1">
        <f t="array" ref="L39">GetDistance($E39,L$2,$B$9)</f>
        <v>564.96</v>
      </c>
      <c r="M39" s="5" cm="1">
        <f t="array" ref="M39">GetDistance($E39,M$2,$B$9)</f>
        <v>505.17200000000003</v>
      </c>
      <c r="N39" s="5" cm="1">
        <f t="array" ref="N39">GetDistance($E39,N$2,$B$9)</f>
        <v>414.46800000000002</v>
      </c>
      <c r="O39" s="5" cm="1">
        <f t="array" ref="O39">GetDistance($E39,O$2,$B$9)</f>
        <v>470.56799999999998</v>
      </c>
      <c r="P39" s="5" cm="1">
        <f t="array" ref="P39">GetDistance($E39,P$2,$B$9)</f>
        <v>525.86599999999999</v>
      </c>
      <c r="Q39" s="5" cm="1">
        <f t="array" ref="Q39">GetDistance($E39,Q$2,$B$9)</f>
        <v>480.767</v>
      </c>
      <c r="R39" s="5" cm="1">
        <f t="array" ref="R39">GetDistance($E39,R$2,$B$9)</f>
        <v>662.07899999999995</v>
      </c>
      <c r="S39" s="5" cm="1">
        <f t="array" ref="S39">GetDistance($E39,S$2,$B$9)</f>
        <v>647.62699999999995</v>
      </c>
      <c r="T39" s="5" cm="1">
        <f t="array" ref="T39">GetDistance($E39,T$2,$B$9)</f>
        <v>604.36099999999999</v>
      </c>
      <c r="U39" s="5" cm="1">
        <f t="array" ref="U39">GetDistance($E39,U$2,$B$9)</f>
        <v>489.25400000000002</v>
      </c>
      <c r="V39" s="5" cm="1">
        <f t="array" ref="V39">GetDistance($E39,V$2,$B$9)</f>
        <v>426.255</v>
      </c>
      <c r="W39" s="5" cm="1">
        <f t="array" ref="W39">GetDistance($E39,W$2,$B$9)</f>
        <v>19.350999999999999</v>
      </c>
      <c r="X39" s="5" cm="1">
        <f t="array" ref="X39">GetDistance($E39,X$2,$B$9)</f>
        <v>133.49799999999999</v>
      </c>
      <c r="Y39" s="5" cm="1">
        <f t="array" ref="Y39">GetDistance($E39,Y$2,$B$9)</f>
        <v>146.28200000000001</v>
      </c>
      <c r="Z39" s="5" cm="1">
        <f t="array" ref="Z39">GetDistance($E39,Z$2,$B$9)</f>
        <v>681.42899999999997</v>
      </c>
      <c r="AA39" s="5" cm="1">
        <f t="array" ref="AA39">GetDistance($E39,AA$2,$B$9)</f>
        <v>58.746000000000002</v>
      </c>
      <c r="AB39" s="5" cm="1">
        <f t="array" ref="AB39">GetDistance($E39,AB$2,$B$9)</f>
        <v>219.25399999999999</v>
      </c>
      <c r="AC39" s="5" cm="1">
        <f t="array" ref="AC39">GetDistance($E39,AC$2,$B$9)</f>
        <v>242.75299999999999</v>
      </c>
      <c r="AD39" s="5" cm="1">
        <f t="array" ref="AD39">GetDistance($E39,AD$2,$B$9)</f>
        <v>661.16300000000001</v>
      </c>
      <c r="AE39" s="5" cm="1">
        <f t="array" ref="AE39">GetDistance($E39,AE$2,$B$9)</f>
        <v>751.36099999999999</v>
      </c>
      <c r="AF39" s="5" cm="1">
        <f t="array" ref="AF39">GetDistance($E39,AF$2,$B$9)</f>
        <v>379.31</v>
      </c>
      <c r="AG39" s="5" cm="1">
        <f t="array" ref="AG39">GetDistance($E39,AG$2,$B$9)</f>
        <v>689.79200000000003</v>
      </c>
      <c r="AH39" s="5" cm="1">
        <f t="array" ref="AH39">GetDistance($E39,AH$2,$B$9)</f>
        <v>410.15499999999997</v>
      </c>
      <c r="AI39" s="5" cm="1">
        <f t="array" ref="AI39">GetDistance($E39,AI$2,$B$9)</f>
        <v>544.04600000000005</v>
      </c>
      <c r="AJ39" s="5" cm="1">
        <f t="array" ref="AJ39">GetDistance($E39,AJ$2,$B$9)</f>
        <v>662.79300000000001</v>
      </c>
      <c r="AK39" s="5" cm="1">
        <f t="array" ref="AK39">GetDistance($E39,AK$2,$B$9)</f>
        <v>754.48099999999999</v>
      </c>
      <c r="AL39" s="5" cm="1">
        <f t="array" ref="AL39">GetDistance($E39,AL$2,$B$9)</f>
        <v>592.36699999999996</v>
      </c>
      <c r="AM39" s="5" cm="1">
        <f t="array" ref="AM39">GetDistance($E39,AM$2,$B$9)</f>
        <v>794.45</v>
      </c>
      <c r="AN39" s="5" cm="1">
        <f t="array" ref="AN39">GetDistance($E39,AN$2,$B$9)</f>
        <v>549.00599999999997</v>
      </c>
      <c r="AO39" s="5" cm="1">
        <f t="array" ref="AO39">GetDistance($E39,AO$2,$B$9)</f>
        <v>587.39200000000005</v>
      </c>
      <c r="AP39" s="5" cm="1">
        <f t="array" ref="AP39">GetDistance($E39,AP$2,$B$9)</f>
        <v>0</v>
      </c>
      <c r="AQ39" s="5" cm="1">
        <f t="array" ref="AQ39">GetDistance($E39,AQ$2,$B$9)</f>
        <v>774.63199999999995</v>
      </c>
      <c r="AR39" s="5"/>
      <c r="AS39" s="5"/>
      <c r="AT39" s="5"/>
      <c r="AU39" s="5"/>
      <c r="AV39" s="5"/>
      <c r="AW39" s="5"/>
      <c r="AX39" s="5"/>
    </row>
    <row r="40" spans="5:50" x14ac:dyDescent="0.3">
      <c r="E40" t="s">
        <v>1508</v>
      </c>
      <c r="F40" s="5" cm="1">
        <f t="array" ref="F40">GetDistance($E40,F$2,$B$9)</f>
        <v>770.04499999999996</v>
      </c>
      <c r="G40" s="5" cm="1">
        <f t="array" ref="G40">GetDistance($E40,G$2,$B$9)</f>
        <v>803.30200000000002</v>
      </c>
      <c r="H40" s="5" cm="1">
        <f t="array" ref="H40">GetDistance($E40,H$2,$B$9)</f>
        <v>795.12599999999998</v>
      </c>
      <c r="I40" s="5" cm="1">
        <f t="array" ref="I40">GetDistance($E40,I$2,$B$9)</f>
        <v>793.53899999999999</v>
      </c>
      <c r="J40" s="5" cm="1">
        <f t="array" ref="J40">GetDistance($E40,J$2,$B$9)</f>
        <v>846.46799999999996</v>
      </c>
      <c r="K40" s="5" cm="1">
        <f t="array" ref="K40">GetDistance($E40,K$2,$B$9)</f>
        <v>1271.856</v>
      </c>
      <c r="L40" s="5" cm="1">
        <f t="array" ref="L40">GetDistance($E40,L$2,$B$9)</f>
        <v>951.05499999999995</v>
      </c>
      <c r="M40" s="5" cm="1">
        <f t="array" ref="M40">GetDistance($E40,M$2,$B$9)</f>
        <v>772.45</v>
      </c>
      <c r="N40" s="5" cm="1">
        <f t="array" ref="N40">GetDistance($E40,N$2,$B$9)</f>
        <v>1033.576</v>
      </c>
      <c r="O40" s="5" cm="1">
        <f t="array" ref="O40">GetDistance($E40,O$2,$B$9)</f>
        <v>883.67399999999998</v>
      </c>
      <c r="P40" s="5" cm="1">
        <f t="array" ref="P40">GetDistance($E40,P$2,$B$9)</f>
        <v>1267.0899999999999</v>
      </c>
      <c r="Q40" s="5" cm="1">
        <f t="array" ref="Q40">GetDistance($E40,Q$2,$B$9)</f>
        <v>1176.0250000000001</v>
      </c>
      <c r="R40" s="5" cm="1">
        <f t="array" ref="R40">GetDistance($E40,R$2,$B$9)</f>
        <v>161.09899999999999</v>
      </c>
      <c r="S40" s="5" cm="1">
        <f t="array" ref="S40">GetDistance($E40,S$2,$B$9)</f>
        <v>160.672</v>
      </c>
      <c r="T40" s="5" cm="1">
        <f t="array" ref="T40">GetDistance($E40,T$2,$B$9)</f>
        <v>900.40300000000002</v>
      </c>
      <c r="U40" s="5" cm="1">
        <f t="array" ref="U40">GetDistance($E40,U$2,$B$9)</f>
        <v>892.18299999999999</v>
      </c>
      <c r="V40" s="5" cm="1">
        <f t="array" ref="V40">GetDistance($E40,V$2,$B$9)</f>
        <v>1167.479</v>
      </c>
      <c r="W40" s="5" cm="1">
        <f t="array" ref="W40">GetDistance($E40,W$2,$B$9)</f>
        <v>763.29899999999998</v>
      </c>
      <c r="X40" s="5" cm="1">
        <f t="array" ref="X40">GetDistance($E40,X$2,$B$9)</f>
        <v>736.79399999999998</v>
      </c>
      <c r="Y40" s="5" cm="1">
        <f t="array" ref="Y40">GetDistance($E40,Y$2,$B$9)</f>
        <v>640.96900000000005</v>
      </c>
      <c r="Z40" s="5" cm="1">
        <f t="array" ref="Z40">GetDistance($E40,Z$2,$B$9)</f>
        <v>153.488</v>
      </c>
      <c r="AA40" s="5" cm="1">
        <f t="array" ref="AA40">GetDistance($E40,AA$2,$B$9)</f>
        <v>802.69399999999996</v>
      </c>
      <c r="AB40" s="5" cm="1">
        <f t="array" ref="AB40">GetDistance($E40,AB$2,$B$9)</f>
        <v>721.91600000000005</v>
      </c>
      <c r="AC40" s="5" cm="1">
        <f t="array" ref="AC40">GetDistance($E40,AC$2,$B$9)</f>
        <v>536.52599999999995</v>
      </c>
      <c r="AD40" s="5" cm="1">
        <f t="array" ref="AD40">GetDistance($E40,AD$2,$B$9)</f>
        <v>1402.3869999999999</v>
      </c>
      <c r="AE40" s="5" cm="1">
        <f t="array" ref="AE40">GetDistance($E40,AE$2,$B$9)</f>
        <v>1052.2809999999999</v>
      </c>
      <c r="AF40" s="5" cm="1">
        <f t="array" ref="AF40">GetDistance($E40,AF$2,$B$9)</f>
        <v>1123.258</v>
      </c>
      <c r="AG40" s="5" cm="1">
        <f t="array" ref="AG40">GetDistance($E40,AG$2,$B$9)</f>
        <v>525.99800000000005</v>
      </c>
      <c r="AH40" s="5" cm="1">
        <f t="array" ref="AH40">GetDistance($E40,AH$2,$B$9)</f>
        <v>594.61900000000003</v>
      </c>
      <c r="AI40" s="5" cm="1">
        <f t="array" ref="AI40">GetDistance($E40,AI$2,$B$9)</f>
        <v>459.15600000000001</v>
      </c>
      <c r="AJ40" s="5" cm="1">
        <f t="array" ref="AJ40">GetDistance($E40,AJ$2,$B$9)</f>
        <v>419.48599999999999</v>
      </c>
      <c r="AK40" s="5" cm="1">
        <f t="array" ref="AK40">GetDistance($E40,AK$2,$B$9)</f>
        <v>929.83600000000001</v>
      </c>
      <c r="AL40" s="5" cm="1">
        <f t="array" ref="AL40">GetDistance($E40,AL$2,$B$9)</f>
        <v>561.03399999999999</v>
      </c>
      <c r="AM40" s="5" cm="1">
        <f t="array" ref="AM40">GetDistance($E40,AM$2,$B$9)</f>
        <v>758.79600000000005</v>
      </c>
      <c r="AN40" s="5" cm="1">
        <f t="array" ref="AN40">GetDistance($E40,AN$2,$B$9)</f>
        <v>693.47</v>
      </c>
      <c r="AO40" s="5" cm="1">
        <f t="array" ref="AO40">GetDistance($E40,AO$2,$B$9)</f>
        <v>883.73900000000003</v>
      </c>
      <c r="AP40" s="5" cm="1">
        <f t="array" ref="AP40">GetDistance($E40,AP$2,$B$9)</f>
        <v>774.37400000000002</v>
      </c>
      <c r="AQ40" s="5" cm="1">
        <f t="array" ref="AQ40">GetDistance($E40,AQ$2,$B$9)</f>
        <v>0</v>
      </c>
      <c r="AR40" s="5"/>
      <c r="AS40" s="5"/>
      <c r="AT40" s="5"/>
      <c r="AU40" s="5"/>
      <c r="AV40" s="5"/>
      <c r="AW40" s="5"/>
      <c r="AX40" s="5"/>
    </row>
    <row r="41" spans="5:50" x14ac:dyDescent="0.3"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</row>
    <row r="42" spans="5:50" x14ac:dyDescent="0.3"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</row>
    <row r="43" spans="5:50" x14ac:dyDescent="0.3"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</row>
    <row r="44" spans="5:50" x14ac:dyDescent="0.3"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</row>
    <row r="45" spans="5:50" x14ac:dyDescent="0.3"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</row>
    <row r="46" spans="5:50" x14ac:dyDescent="0.3"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</row>
    <row r="47" spans="5:50" x14ac:dyDescent="0.3"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</row>
    <row r="48" spans="5:50" x14ac:dyDescent="0.3">
      <c r="E48" t="s">
        <v>1472</v>
      </c>
    </row>
    <row r="49" spans="5:5" x14ac:dyDescent="0.3">
      <c r="E49" t="s">
        <v>1507</v>
      </c>
    </row>
    <row r="50" spans="5:5" x14ac:dyDescent="0.3">
      <c r="E50" t="s">
        <v>1508</v>
      </c>
    </row>
  </sheetData>
  <mergeCells count="3">
    <mergeCell ref="A11:A12"/>
    <mergeCell ref="B11:B12"/>
    <mergeCell ref="D3:D10"/>
  </mergeCells>
  <hyperlinks>
    <hyperlink ref="B5" r:id="rId1" display="https://www.google.com/maps/place/data=!4m2!3m1!1s0x12cdc287df875ea1:0xecc4e2bf4062e672?sa=X&amp;ved=1t:8290&amp;ictx=111" xr:uid="{5184A16C-22B4-4D7E-B78D-D6C5F8E9A2E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FC9A8-0457-4B3B-801F-D95B2E8E44CB}">
  <dimension ref="A1:B7"/>
  <sheetViews>
    <sheetView workbookViewId="0">
      <selection activeCell="E4" sqref="E4"/>
    </sheetView>
  </sheetViews>
  <sheetFormatPr baseColWidth="10" defaultRowHeight="14.4" x14ac:dyDescent="0.3"/>
  <sheetData>
    <row r="1" spans="1:2" ht="15" thickBot="1" x14ac:dyDescent="0.35">
      <c r="A1" s="41" t="s">
        <v>1409</v>
      </c>
      <c r="B1" s="41" t="s">
        <v>1410</v>
      </c>
    </row>
    <row r="2" spans="1:2" ht="28.2" thickBot="1" x14ac:dyDescent="0.35">
      <c r="A2" s="42" t="s">
        <v>1411</v>
      </c>
      <c r="B2" s="42">
        <v>6.2E-2</v>
      </c>
    </row>
    <row r="3" spans="1:2" ht="15" thickBot="1" x14ac:dyDescent="0.35">
      <c r="A3" s="42" t="s">
        <v>1408</v>
      </c>
      <c r="B3" s="42">
        <v>5.8999999999999997E-2</v>
      </c>
    </row>
    <row r="4" spans="1:2" ht="28.2" thickBot="1" x14ac:dyDescent="0.35">
      <c r="A4" s="42" t="s">
        <v>1412</v>
      </c>
      <c r="B4" s="42">
        <v>7.0000000000000007E-2</v>
      </c>
    </row>
    <row r="5" spans="1:2" ht="28.2" thickBot="1" x14ac:dyDescent="0.35">
      <c r="A5" s="42" t="s">
        <v>1413</v>
      </c>
      <c r="B5" s="42">
        <v>6.8000000000000005E-2</v>
      </c>
    </row>
    <row r="6" spans="1:2" ht="28.2" thickBot="1" x14ac:dyDescent="0.35">
      <c r="A6" s="42" t="s">
        <v>1414</v>
      </c>
      <c r="B6" s="42">
        <v>0.123</v>
      </c>
    </row>
    <row r="7" spans="1:2" ht="28.2" thickBot="1" x14ac:dyDescent="0.35">
      <c r="A7" s="42" t="s">
        <v>1415</v>
      </c>
      <c r="B7" s="42">
        <v>8.7999999999999995E-2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C38EE-8E7F-49D5-87C3-CCA5295AD881}">
  <sheetPr codeName="Feuil9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A2" t="s">
        <v>23</v>
      </c>
      <c r="B2" t="str" cm="1">
        <f t="array" ref="B2:H2">TRANSPOSE(A3:A9)</f>
        <v xml:space="preserve">Höheweg 56, 3800 Interlaken BE </v>
      </c>
      <c r="C2" t="str">
        <v>Hagenholzstrasse 110, 8050 Zurich</v>
      </c>
      <c r="D2" t="str">
        <v>Route de Bois-de-Bay 15, 1242 Satigny</v>
      </c>
      <c r="E2" t="str">
        <v>Hegenheimermattweg 119, 4123 Allschwil</v>
      </c>
      <c r="F2" t="str">
        <v>Industriestrasse 15, 6010 Kriens</v>
      </c>
      <c r="G2" t="str">
        <v>Via Industria 10, 6814 Cadempino</v>
      </c>
      <c r="H2" t="str">
        <v>Industriestrasse 5, 3000 Bern, Switzerland</v>
      </c>
    </row>
    <row r="3" spans="1:9" x14ac:dyDescent="0.3">
      <c r="A3" s="19" t="s">
        <v>1424</v>
      </c>
      <c r="B3">
        <v>0</v>
      </c>
      <c r="C3">
        <v>133.21100000000001</v>
      </c>
      <c r="D3">
        <v>218.42099999999999</v>
      </c>
      <c r="E3">
        <v>154.089</v>
      </c>
      <c r="F3">
        <v>66.442999999999998</v>
      </c>
      <c r="G3">
        <v>185.02199999999999</v>
      </c>
      <c r="H3">
        <v>102.578</v>
      </c>
    </row>
    <row r="4" spans="1:9" x14ac:dyDescent="0.3">
      <c r="A4" t="s">
        <v>1367</v>
      </c>
      <c r="B4">
        <v>136.29400000000001</v>
      </c>
      <c r="C4">
        <v>0</v>
      </c>
      <c r="D4">
        <v>286.15499999999997</v>
      </c>
      <c r="E4">
        <v>95.543000000000006</v>
      </c>
      <c r="F4">
        <v>71.727000000000004</v>
      </c>
      <c r="G4">
        <v>220.517</v>
      </c>
      <c r="H4">
        <v>114.018</v>
      </c>
    </row>
    <row r="5" spans="1:9" x14ac:dyDescent="0.3">
      <c r="A5" t="s">
        <v>1368</v>
      </c>
      <c r="B5">
        <v>218.923</v>
      </c>
      <c r="C5">
        <v>283.09699999999998</v>
      </c>
      <c r="D5">
        <v>0</v>
      </c>
      <c r="E5">
        <v>259.315</v>
      </c>
      <c r="F5">
        <v>270.613</v>
      </c>
      <c r="G5">
        <v>396.11500000000001</v>
      </c>
      <c r="H5">
        <v>172.42099999999999</v>
      </c>
    </row>
    <row r="6" spans="1:9" x14ac:dyDescent="0.3">
      <c r="A6" t="s">
        <v>1369</v>
      </c>
      <c r="B6">
        <v>153.92099999999999</v>
      </c>
      <c r="C6">
        <v>91.915000000000006</v>
      </c>
      <c r="D6">
        <v>258.541</v>
      </c>
      <c r="E6">
        <v>0</v>
      </c>
      <c r="F6">
        <v>103.92700000000001</v>
      </c>
      <c r="G6">
        <v>266.26499999999999</v>
      </c>
      <c r="H6">
        <v>86.403999999999996</v>
      </c>
    </row>
    <row r="7" spans="1:9" x14ac:dyDescent="0.3">
      <c r="A7" t="s">
        <v>1371</v>
      </c>
      <c r="B7">
        <v>65.774000000000001</v>
      </c>
      <c r="C7">
        <v>69.73</v>
      </c>
      <c r="D7">
        <v>271.916</v>
      </c>
      <c r="E7">
        <v>105.788</v>
      </c>
      <c r="F7">
        <v>0</v>
      </c>
      <c r="G7">
        <v>163.54499999999999</v>
      </c>
      <c r="H7">
        <v>99.778999999999996</v>
      </c>
    </row>
    <row r="8" spans="1:9" x14ac:dyDescent="0.3">
      <c r="A8" t="s">
        <v>1373</v>
      </c>
      <c r="B8">
        <v>216.589</v>
      </c>
      <c r="C8">
        <v>216.625</v>
      </c>
      <c r="D8">
        <v>392.79300000000001</v>
      </c>
      <c r="E8">
        <v>266.30399999999997</v>
      </c>
      <c r="F8">
        <v>163.47800000000001</v>
      </c>
      <c r="G8">
        <v>0</v>
      </c>
      <c r="H8">
        <v>260.29500000000002</v>
      </c>
    </row>
    <row r="9" spans="1:9" ht="15" thickBot="1" x14ac:dyDescent="0.35">
      <c r="A9" s="26" t="s">
        <v>1374</v>
      </c>
      <c r="B9">
        <v>102.66800000000001</v>
      </c>
      <c r="C9">
        <v>110.614</v>
      </c>
      <c r="D9">
        <v>171.43799999999999</v>
      </c>
      <c r="E9">
        <v>86.831999999999994</v>
      </c>
      <c r="F9">
        <v>98.13</v>
      </c>
      <c r="G9">
        <v>260.46800000000002</v>
      </c>
      <c r="H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BEFEF-6347-4DE0-85AE-B0766226F315}">
  <sheetPr codeName="Feuil10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1424</v>
      </c>
      <c r="B2" s="24" t="s">
        <v>241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9832D-F860-4A7F-8593-D0F0BF9897D9}">
  <sheetPr codeName="Feuil11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A2" t="s">
        <v>23</v>
      </c>
      <c r="B2" t="str" cm="1">
        <f t="array" ref="B2:H2">TRANSPOSE(A3:A9)</f>
        <v>Palace Galerie, Via Serlas 29, 7500 St. Moritz, Suisse</v>
      </c>
      <c r="C2" t="str">
        <v>Hagenholzstrasse 110, 8050 Zurich</v>
      </c>
      <c r="D2" t="str">
        <v>Route de Bois-de-Bay 15, 1242 Satigny</v>
      </c>
      <c r="E2" t="str">
        <v>Hegenheimermattweg 119, 4123 Allschwil</v>
      </c>
      <c r="F2" t="str">
        <v>Industriestrasse 15, 6010 Kriens</v>
      </c>
      <c r="G2" t="str">
        <v>Via Industria 10, 6814 Cadempino</v>
      </c>
      <c r="H2" t="str">
        <v>Industriestrasse 5, 3000 Bern, Switzerland</v>
      </c>
    </row>
    <row r="3" spans="1:9" x14ac:dyDescent="0.3">
      <c r="A3" s="19" t="s">
        <v>1405</v>
      </c>
      <c r="B3">
        <v>0</v>
      </c>
      <c r="C3">
        <v>204.91800000000001</v>
      </c>
      <c r="D3">
        <v>483.00599999999997</v>
      </c>
      <c r="E3">
        <v>292.39400000000001</v>
      </c>
      <c r="F3">
        <v>228.596</v>
      </c>
      <c r="G3">
        <v>178.239</v>
      </c>
      <c r="H3">
        <v>310.86900000000003</v>
      </c>
    </row>
    <row r="4" spans="1:9" x14ac:dyDescent="0.3">
      <c r="A4" t="s">
        <v>1367</v>
      </c>
      <c r="B4">
        <v>205.72200000000001</v>
      </c>
      <c r="C4">
        <v>0</v>
      </c>
      <c r="D4">
        <v>286.15499999999997</v>
      </c>
      <c r="E4">
        <v>95.543000000000006</v>
      </c>
      <c r="F4">
        <v>71.727000000000004</v>
      </c>
      <c r="G4">
        <v>220.517</v>
      </c>
      <c r="H4">
        <v>114.018</v>
      </c>
    </row>
    <row r="5" spans="1:9" x14ac:dyDescent="0.3">
      <c r="A5" t="s">
        <v>1368</v>
      </c>
      <c r="B5">
        <v>483.44400000000002</v>
      </c>
      <c r="C5">
        <v>283.09699999999998</v>
      </c>
      <c r="D5">
        <v>0</v>
      </c>
      <c r="E5">
        <v>259.315</v>
      </c>
      <c r="F5">
        <v>270.613</v>
      </c>
      <c r="G5">
        <v>396.11500000000001</v>
      </c>
      <c r="H5">
        <v>172.42099999999999</v>
      </c>
    </row>
    <row r="6" spans="1:9" x14ac:dyDescent="0.3">
      <c r="A6" t="s">
        <v>1369</v>
      </c>
      <c r="B6">
        <v>292.262</v>
      </c>
      <c r="C6">
        <v>91.915000000000006</v>
      </c>
      <c r="D6">
        <v>258.541</v>
      </c>
      <c r="E6">
        <v>0</v>
      </c>
      <c r="F6">
        <v>103.92700000000001</v>
      </c>
      <c r="G6">
        <v>266.26499999999999</v>
      </c>
      <c r="H6">
        <v>86.403999999999996</v>
      </c>
    </row>
    <row r="7" spans="1:9" x14ac:dyDescent="0.3">
      <c r="A7" t="s">
        <v>1371</v>
      </c>
      <c r="B7">
        <v>229.92500000000001</v>
      </c>
      <c r="C7">
        <v>69.73</v>
      </c>
      <c r="D7">
        <v>271.916</v>
      </c>
      <c r="E7">
        <v>105.788</v>
      </c>
      <c r="F7">
        <v>0</v>
      </c>
      <c r="G7">
        <v>163.54499999999999</v>
      </c>
      <c r="H7">
        <v>99.778999999999996</v>
      </c>
    </row>
    <row r="8" spans="1:9" x14ac:dyDescent="0.3">
      <c r="A8" t="s">
        <v>1373</v>
      </c>
      <c r="B8">
        <v>178.19399999999999</v>
      </c>
      <c r="C8">
        <v>216.625</v>
      </c>
      <c r="D8">
        <v>392.79300000000001</v>
      </c>
      <c r="E8">
        <v>266.30399999999997</v>
      </c>
      <c r="F8">
        <v>163.47800000000001</v>
      </c>
      <c r="G8">
        <v>0</v>
      </c>
      <c r="H8">
        <v>260.29500000000002</v>
      </c>
    </row>
    <row r="9" spans="1:9" ht="15" thickBot="1" x14ac:dyDescent="0.35">
      <c r="A9" s="26" t="s">
        <v>1374</v>
      </c>
      <c r="B9">
        <v>310.96100000000001</v>
      </c>
      <c r="C9">
        <v>110.614</v>
      </c>
      <c r="D9">
        <v>171.43799999999999</v>
      </c>
      <c r="E9">
        <v>86.831999999999994</v>
      </c>
      <c r="F9">
        <v>98.13</v>
      </c>
      <c r="G9">
        <v>260.46800000000002</v>
      </c>
      <c r="H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0DCF0-33E2-4F1B-9FDD-638033AC974C}">
  <sheetPr codeName="Feuil12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1405</v>
      </c>
      <c r="B2" s="24" t="s">
        <v>1406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AB381-815C-45C3-9002-1EB58CFC939E}">
  <sheetPr codeName="Feuil13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A2" t="s">
        <v>23</v>
      </c>
      <c r="B2" t="str" cm="1">
        <f t="array" ref="B2:H2">TRANSPOSE(A3:A9)</f>
        <v xml:space="preserve">Schweizerhofquai 2, 6004 Lucerne </v>
      </c>
      <c r="C2" t="str">
        <v>Hagenholzstrasse 110, 8050 Zurich</v>
      </c>
      <c r="D2" t="str">
        <v>Route de Bois-de-Bay 15, 1242 Satigny</v>
      </c>
      <c r="E2" t="str">
        <v>Hegenheimermattweg 119, 4123 Allschwil</v>
      </c>
      <c r="F2" t="str">
        <v>Industriestrasse 15, 6010 Kriens</v>
      </c>
      <c r="G2" t="str">
        <v>Via Industria 10, 6814 Cadempino</v>
      </c>
      <c r="H2" t="str">
        <v>Industriestrasse 5, 3000 Bern, Switzerland</v>
      </c>
    </row>
    <row r="3" spans="1:9" x14ac:dyDescent="0.3">
      <c r="A3" s="19" t="s">
        <v>1425</v>
      </c>
      <c r="B3">
        <v>0</v>
      </c>
      <c r="C3">
        <v>66.015000000000001</v>
      </c>
      <c r="D3">
        <v>268.20100000000002</v>
      </c>
      <c r="E3">
        <v>102.07299999999999</v>
      </c>
      <c r="F3">
        <v>4.3769999999999998</v>
      </c>
      <c r="G3">
        <v>166.602</v>
      </c>
      <c r="H3">
        <v>96.063999999999993</v>
      </c>
    </row>
    <row r="4" spans="1:9" x14ac:dyDescent="0.3">
      <c r="A4" t="s">
        <v>1367</v>
      </c>
      <c r="B4">
        <v>70.290999999999997</v>
      </c>
      <c r="C4">
        <v>0</v>
      </c>
      <c r="D4">
        <v>286.15499999999997</v>
      </c>
      <c r="E4">
        <v>95.543000000000006</v>
      </c>
      <c r="F4">
        <v>71.727000000000004</v>
      </c>
      <c r="G4">
        <v>220.517</v>
      </c>
      <c r="H4">
        <v>114.018</v>
      </c>
    </row>
    <row r="5" spans="1:9" x14ac:dyDescent="0.3">
      <c r="A5" t="s">
        <v>1368</v>
      </c>
      <c r="B5">
        <v>269.17700000000002</v>
      </c>
      <c r="C5">
        <v>283.09699999999998</v>
      </c>
      <c r="D5">
        <v>0</v>
      </c>
      <c r="E5">
        <v>259.315</v>
      </c>
      <c r="F5">
        <v>270.613</v>
      </c>
      <c r="G5">
        <v>396.11500000000001</v>
      </c>
      <c r="H5">
        <v>172.42099999999999</v>
      </c>
    </row>
    <row r="6" spans="1:9" x14ac:dyDescent="0.3">
      <c r="A6" t="s">
        <v>1369</v>
      </c>
      <c r="B6">
        <v>102.491</v>
      </c>
      <c r="C6">
        <v>91.915000000000006</v>
      </c>
      <c r="D6">
        <v>258.541</v>
      </c>
      <c r="E6">
        <v>0</v>
      </c>
      <c r="F6">
        <v>103.92700000000001</v>
      </c>
      <c r="G6">
        <v>266.26499999999999</v>
      </c>
      <c r="H6">
        <v>86.403999999999996</v>
      </c>
    </row>
    <row r="7" spans="1:9" x14ac:dyDescent="0.3">
      <c r="A7" t="s">
        <v>1371</v>
      </c>
      <c r="B7">
        <v>4.5679999999999996</v>
      </c>
      <c r="C7">
        <v>69.73</v>
      </c>
      <c r="D7">
        <v>271.916</v>
      </c>
      <c r="E7">
        <v>105.788</v>
      </c>
      <c r="F7">
        <v>0</v>
      </c>
      <c r="G7">
        <v>163.54499999999999</v>
      </c>
      <c r="H7">
        <v>99.778999999999996</v>
      </c>
    </row>
    <row r="8" spans="1:9" x14ac:dyDescent="0.3">
      <c r="A8" t="s">
        <v>1373</v>
      </c>
      <c r="B8">
        <v>167.08199999999999</v>
      </c>
      <c r="C8">
        <v>216.625</v>
      </c>
      <c r="D8">
        <v>392.79300000000001</v>
      </c>
      <c r="E8">
        <v>266.30399999999997</v>
      </c>
      <c r="F8">
        <v>163.47800000000001</v>
      </c>
      <c r="G8">
        <v>0</v>
      </c>
      <c r="H8">
        <v>260.29500000000002</v>
      </c>
    </row>
    <row r="9" spans="1:9" ht="15" thickBot="1" x14ac:dyDescent="0.35">
      <c r="A9" s="26" t="s">
        <v>1374</v>
      </c>
      <c r="B9">
        <v>96.694000000000003</v>
      </c>
      <c r="C9">
        <v>110.614</v>
      </c>
      <c r="D9">
        <v>171.43799999999999</v>
      </c>
      <c r="E9">
        <v>86.831999999999994</v>
      </c>
      <c r="F9">
        <v>98.13</v>
      </c>
      <c r="G9">
        <v>260.46800000000002</v>
      </c>
      <c r="H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948F-AF36-45F6-BA04-8C53F270C234}">
  <sheetPr codeName="Feuil14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1425</v>
      </c>
      <c r="B2" s="24" t="s">
        <v>245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94104-015E-4652-BC56-AB005ABB38EE}">
  <sheetPr codeName="Feuil15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B2" t="str" cm="1">
        <f t="array" ref="B2:H2">TRANSPOSE(A3:A9)</f>
        <v xml:space="preserve">Rue du Rhône 35, 1204 Genève GE </v>
      </c>
      <c r="C2" t="str">
        <v>Hagenholzstrasse 110, 8050 Zurich</v>
      </c>
      <c r="D2" t="str">
        <v>Route de Bois-de-Bay 15, 1242 Satigny</v>
      </c>
      <c r="E2" t="str">
        <v>Hegenheimermattweg 119, 4123 Allschwil</v>
      </c>
      <c r="F2" t="str">
        <v>Industriestrasse 15, 6010 Kriens</v>
      </c>
      <c r="G2" t="str">
        <v>Via Industria 10, 6814 Cadempino</v>
      </c>
      <c r="H2" t="str">
        <v>Industriestrasse 5, 3000 Bern, Switzerland</v>
      </c>
    </row>
    <row r="3" spans="1:9" x14ac:dyDescent="0.3">
      <c r="A3" s="19" t="s">
        <v>1423</v>
      </c>
      <c r="B3">
        <v>0</v>
      </c>
      <c r="C3">
        <v>280.137</v>
      </c>
      <c r="D3">
        <v>9.2919999999999998</v>
      </c>
      <c r="E3">
        <v>256.35500000000002</v>
      </c>
      <c r="F3">
        <v>267.65300000000002</v>
      </c>
      <c r="G3">
        <v>376.19799999999998</v>
      </c>
      <c r="H3">
        <v>169.46100000000001</v>
      </c>
    </row>
    <row r="4" spans="1:9" x14ac:dyDescent="0.3">
      <c r="A4" t="s">
        <v>1367</v>
      </c>
      <c r="B4">
        <v>283.291</v>
      </c>
      <c r="C4">
        <v>0</v>
      </c>
      <c r="D4">
        <v>286.15499999999997</v>
      </c>
      <c r="E4">
        <v>95.543000000000006</v>
      </c>
      <c r="F4">
        <v>71.727000000000004</v>
      </c>
      <c r="G4">
        <v>220.517</v>
      </c>
      <c r="H4">
        <v>114.018</v>
      </c>
    </row>
    <row r="5" spans="1:9" x14ac:dyDescent="0.3">
      <c r="A5" t="s">
        <v>1368</v>
      </c>
      <c r="B5">
        <v>8.9700000000000006</v>
      </c>
      <c r="C5">
        <v>283.09699999999998</v>
      </c>
      <c r="D5">
        <v>0</v>
      </c>
      <c r="E5">
        <v>259.315</v>
      </c>
      <c r="F5">
        <v>270.613</v>
      </c>
      <c r="G5">
        <v>396.11500000000001</v>
      </c>
      <c r="H5">
        <v>172.42099999999999</v>
      </c>
    </row>
    <row r="6" spans="1:9" x14ac:dyDescent="0.3">
      <c r="A6" t="s">
        <v>1369</v>
      </c>
      <c r="B6">
        <v>255.67699999999999</v>
      </c>
      <c r="C6">
        <v>91.915000000000006</v>
      </c>
      <c r="D6">
        <v>258.541</v>
      </c>
      <c r="E6">
        <v>0</v>
      </c>
      <c r="F6">
        <v>103.92700000000001</v>
      </c>
      <c r="G6">
        <v>266.26499999999999</v>
      </c>
      <c r="H6">
        <v>86.403999999999996</v>
      </c>
    </row>
    <row r="7" spans="1:9" x14ac:dyDescent="0.3">
      <c r="A7" t="s">
        <v>1371</v>
      </c>
      <c r="B7">
        <v>269.05200000000002</v>
      </c>
      <c r="C7">
        <v>69.73</v>
      </c>
      <c r="D7">
        <v>271.916</v>
      </c>
      <c r="E7">
        <v>105.788</v>
      </c>
      <c r="F7">
        <v>0</v>
      </c>
      <c r="G7">
        <v>163.54499999999999</v>
      </c>
      <c r="H7">
        <v>99.778999999999996</v>
      </c>
    </row>
    <row r="8" spans="1:9" x14ac:dyDescent="0.3">
      <c r="A8" t="s">
        <v>1373</v>
      </c>
      <c r="B8">
        <v>373.60500000000002</v>
      </c>
      <c r="C8">
        <v>216.625</v>
      </c>
      <c r="D8">
        <v>392.79300000000001</v>
      </c>
      <c r="E8">
        <v>266.30399999999997</v>
      </c>
      <c r="F8">
        <v>163.47800000000001</v>
      </c>
      <c r="G8">
        <v>0</v>
      </c>
      <c r="H8">
        <v>260.29500000000002</v>
      </c>
    </row>
    <row r="9" spans="1:9" ht="15" thickBot="1" x14ac:dyDescent="0.35">
      <c r="A9" s="26" t="s">
        <v>1374</v>
      </c>
      <c r="B9">
        <v>168.57400000000001</v>
      </c>
      <c r="C9">
        <v>110.614</v>
      </c>
      <c r="D9">
        <v>171.43799999999999</v>
      </c>
      <c r="E9">
        <v>86.831999999999994</v>
      </c>
      <c r="F9">
        <v>98.13</v>
      </c>
      <c r="G9">
        <v>260.46800000000002</v>
      </c>
      <c r="H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4930-A6C9-49D3-94DE-52A3C8C36F9F}">
  <sheetPr codeName="Feuil16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1423</v>
      </c>
      <c r="B2" s="24" t="s">
        <v>244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5F938-891F-432A-A7A8-11CD711B9E09}">
  <sheetPr codeName="Feuil17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B2" t="str" cm="1">
        <f t="array" ref="B2:H2">TRANSPOSE(A3:A9)</f>
        <v xml:space="preserve">Bahnhofstrasse 47, 8001 Zürich </v>
      </c>
      <c r="C2" t="str">
        <v>Hagenholzstrasse 110, 8050 Zurich</v>
      </c>
      <c r="D2" t="str">
        <v>Route de Bois-de-Bay 15, 1242 Satigny</v>
      </c>
      <c r="E2" t="str">
        <v>Hegenheimermattweg 119, 4123 Allschwil</v>
      </c>
      <c r="F2" t="str">
        <v>Industriestrasse 15, 6010 Kriens</v>
      </c>
      <c r="G2" t="str">
        <v>Via Industria 10, 6814 Cadempino</v>
      </c>
      <c r="H2" t="str">
        <v>Industriestrasse 5, 3000 Bern, Switzerland</v>
      </c>
    </row>
    <row r="3" spans="1:9" x14ac:dyDescent="0.3">
      <c r="A3" s="19" t="s">
        <v>1427</v>
      </c>
      <c r="B3">
        <v>0</v>
      </c>
      <c r="C3">
        <v>6.57</v>
      </c>
      <c r="D3">
        <v>280.38099999999997</v>
      </c>
      <c r="E3">
        <v>89.769000000000005</v>
      </c>
      <c r="F3">
        <v>53.706000000000003</v>
      </c>
      <c r="G3">
        <v>202.49600000000001</v>
      </c>
      <c r="H3">
        <v>108.244</v>
      </c>
    </row>
    <row r="4" spans="1:9" x14ac:dyDescent="0.3">
      <c r="A4" t="s">
        <v>1367</v>
      </c>
      <c r="B4">
        <v>7.7649999999999997</v>
      </c>
      <c r="C4">
        <v>0</v>
      </c>
      <c r="D4">
        <v>286.15499999999997</v>
      </c>
      <c r="E4">
        <v>95.543000000000006</v>
      </c>
      <c r="F4">
        <v>71.727000000000004</v>
      </c>
      <c r="G4">
        <v>220.517</v>
      </c>
      <c r="H4">
        <v>114.018</v>
      </c>
    </row>
    <row r="5" spans="1:9" x14ac:dyDescent="0.3">
      <c r="A5" t="s">
        <v>1368</v>
      </c>
      <c r="B5">
        <v>289.24900000000002</v>
      </c>
      <c r="C5">
        <v>283.09699999999998</v>
      </c>
      <c r="D5">
        <v>0</v>
      </c>
      <c r="E5">
        <v>259.315</v>
      </c>
      <c r="F5">
        <v>270.613</v>
      </c>
      <c r="G5">
        <v>396.11500000000001</v>
      </c>
      <c r="H5">
        <v>172.42099999999999</v>
      </c>
    </row>
    <row r="6" spans="1:9" x14ac:dyDescent="0.3">
      <c r="A6" t="s">
        <v>1369</v>
      </c>
      <c r="B6">
        <v>98.066999999999993</v>
      </c>
      <c r="C6">
        <v>91.915000000000006</v>
      </c>
      <c r="D6">
        <v>258.541</v>
      </c>
      <c r="E6">
        <v>0</v>
      </c>
      <c r="F6">
        <v>103.92700000000001</v>
      </c>
      <c r="G6">
        <v>266.26499999999999</v>
      </c>
      <c r="H6">
        <v>86.403999999999996</v>
      </c>
    </row>
    <row r="7" spans="1:9" x14ac:dyDescent="0.3">
      <c r="A7" t="s">
        <v>1371</v>
      </c>
      <c r="B7">
        <v>55.54</v>
      </c>
      <c r="C7">
        <v>69.73</v>
      </c>
      <c r="D7">
        <v>271.916</v>
      </c>
      <c r="E7">
        <v>105.788</v>
      </c>
      <c r="F7">
        <v>0</v>
      </c>
      <c r="G7">
        <v>163.54499999999999</v>
      </c>
      <c r="H7">
        <v>99.778999999999996</v>
      </c>
    </row>
    <row r="8" spans="1:9" x14ac:dyDescent="0.3">
      <c r="A8" t="s">
        <v>1373</v>
      </c>
      <c r="B8">
        <v>202.435</v>
      </c>
      <c r="C8">
        <v>216.625</v>
      </c>
      <c r="D8">
        <v>392.79300000000001</v>
      </c>
      <c r="E8">
        <v>266.30399999999997</v>
      </c>
      <c r="F8">
        <v>163.47800000000001</v>
      </c>
      <c r="G8">
        <v>0</v>
      </c>
      <c r="H8">
        <v>260.29500000000002</v>
      </c>
    </row>
    <row r="9" spans="1:9" ht="15" thickBot="1" x14ac:dyDescent="0.35">
      <c r="A9" s="26" t="s">
        <v>1374</v>
      </c>
      <c r="B9">
        <v>116.76600000000001</v>
      </c>
      <c r="C9">
        <v>110.614</v>
      </c>
      <c r="D9">
        <v>171.43799999999999</v>
      </c>
      <c r="E9">
        <v>86.831999999999994</v>
      </c>
      <c r="F9">
        <v>98.13</v>
      </c>
      <c r="G9">
        <v>260.46800000000002</v>
      </c>
      <c r="H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B2DA-674C-4D21-82F9-9F0FDD681E98}">
  <sheetPr codeName="Feuil18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1427</v>
      </c>
      <c r="B2" s="24" t="s">
        <v>243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3D68B-F72F-4CE5-82E0-B13231077BF5}">
  <sheetPr codeName="Feuil19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B2" t="str" cm="1">
        <f t="array" ref="B2:H2">TRANSPOSE(A3:A9)</f>
        <v xml:space="preserve">Piazzetta Maraini 1, 6900 Lugano </v>
      </c>
      <c r="C2" t="str">
        <v>Hagenholzstrasse 110, 8050 Zurich</v>
      </c>
      <c r="D2" t="str">
        <v>Route de Bois-de-Bay 15, 1242 Satigny</v>
      </c>
      <c r="E2" t="str">
        <v>Hegenheimermattweg 119, 4123 Allschwil</v>
      </c>
      <c r="F2" t="str">
        <v>Industriestrasse 15, 6010 Kriens</v>
      </c>
      <c r="G2" t="str">
        <v>Via Industria 10, 6814 Cadempino</v>
      </c>
      <c r="H2" t="str">
        <v>Industriestrasse 5, 3000 Bern, Switzerland</v>
      </c>
    </row>
    <row r="3" spans="1:9" x14ac:dyDescent="0.3">
      <c r="A3" s="19" t="s">
        <v>1426</v>
      </c>
      <c r="B3">
        <v>0</v>
      </c>
      <c r="C3">
        <v>222.58699999999999</v>
      </c>
      <c r="D3">
        <v>387.34</v>
      </c>
      <c r="E3">
        <v>272.26600000000002</v>
      </c>
      <c r="F3">
        <v>169.44</v>
      </c>
      <c r="G3">
        <v>7.3150000000000004</v>
      </c>
      <c r="H3">
        <v>266.25700000000001</v>
      </c>
    </row>
    <row r="4" spans="1:9" x14ac:dyDescent="0.3">
      <c r="A4" t="s">
        <v>1367</v>
      </c>
      <c r="B4">
        <v>222.84800000000001</v>
      </c>
      <c r="C4">
        <v>0</v>
      </c>
      <c r="D4">
        <v>286.15499999999997</v>
      </c>
      <c r="E4">
        <v>95.543000000000006</v>
      </c>
      <c r="F4">
        <v>71.727000000000004</v>
      </c>
      <c r="G4">
        <v>220.517</v>
      </c>
      <c r="H4">
        <v>114.018</v>
      </c>
    </row>
    <row r="5" spans="1:9" x14ac:dyDescent="0.3">
      <c r="A5" t="s">
        <v>1368</v>
      </c>
      <c r="B5">
        <v>390.096</v>
      </c>
      <c r="C5">
        <v>283.09699999999998</v>
      </c>
      <c r="D5">
        <v>0</v>
      </c>
      <c r="E5">
        <v>259.315</v>
      </c>
      <c r="F5">
        <v>270.613</v>
      </c>
      <c r="G5">
        <v>396.11500000000001</v>
      </c>
      <c r="H5">
        <v>172.42099999999999</v>
      </c>
    </row>
    <row r="6" spans="1:9" x14ac:dyDescent="0.3">
      <c r="A6" t="s">
        <v>1369</v>
      </c>
      <c r="B6">
        <v>268.596</v>
      </c>
      <c r="C6">
        <v>91.915000000000006</v>
      </c>
      <c r="D6">
        <v>258.541</v>
      </c>
      <c r="E6">
        <v>0</v>
      </c>
      <c r="F6">
        <v>103.92700000000001</v>
      </c>
      <c r="G6">
        <v>266.26499999999999</v>
      </c>
      <c r="H6">
        <v>86.403999999999996</v>
      </c>
    </row>
    <row r="7" spans="1:9" x14ac:dyDescent="0.3">
      <c r="A7" t="s">
        <v>1371</v>
      </c>
      <c r="B7">
        <v>165.876</v>
      </c>
      <c r="C7">
        <v>69.73</v>
      </c>
      <c r="D7">
        <v>271.916</v>
      </c>
      <c r="E7">
        <v>105.788</v>
      </c>
      <c r="F7">
        <v>0</v>
      </c>
      <c r="G7">
        <v>163.54499999999999</v>
      </c>
      <c r="H7">
        <v>99.778999999999996</v>
      </c>
    </row>
    <row r="8" spans="1:9" x14ac:dyDescent="0.3">
      <c r="A8" t="s">
        <v>1373</v>
      </c>
      <c r="B8">
        <v>6.9390000000000001</v>
      </c>
      <c r="C8">
        <v>216.625</v>
      </c>
      <c r="D8">
        <v>392.79300000000001</v>
      </c>
      <c r="E8">
        <v>266.30399999999997</v>
      </c>
      <c r="F8">
        <v>163.47800000000001</v>
      </c>
      <c r="G8">
        <v>0</v>
      </c>
      <c r="H8">
        <v>260.29500000000002</v>
      </c>
    </row>
    <row r="9" spans="1:9" ht="15" thickBot="1" x14ac:dyDescent="0.35">
      <c r="A9" s="26" t="s">
        <v>1374</v>
      </c>
      <c r="B9">
        <v>262.79899999999998</v>
      </c>
      <c r="C9">
        <v>110.614</v>
      </c>
      <c r="D9">
        <v>171.43799999999999</v>
      </c>
      <c r="E9">
        <v>86.831999999999994</v>
      </c>
      <c r="F9">
        <v>98.13</v>
      </c>
      <c r="G9">
        <v>260.46800000000002</v>
      </c>
      <c r="H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0587C-58CC-4796-B365-8CB58506B203}">
  <sheetPr codeName="Feuil20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1426</v>
      </c>
      <c r="B2" s="24" t="s">
        <v>242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7361-5FC3-47CB-B93C-521E596CABAD}">
  <sheetPr codeName="Feuil21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B2" t="str" cm="1">
        <f t="array" ref="B2:H2">TRANSPOSE(A3:A9)</f>
        <v xml:space="preserve">Freie Strasse 101, 4051 Basel </v>
      </c>
      <c r="C2" t="str">
        <v>Hagenholzstrasse 110, 8050 Zurich</v>
      </c>
      <c r="D2" t="str">
        <v>Route de Bois-de-Bay 15, 1242 Satigny</v>
      </c>
      <c r="E2" t="str">
        <v>Hegenheimermattweg 119, 4123 Allschwil</v>
      </c>
      <c r="F2" t="str">
        <v>Industriestrasse 15, 6010 Kriens</v>
      </c>
      <c r="G2" t="str">
        <v>Via Industria 10, 6814 Cadempino</v>
      </c>
      <c r="H2" t="str">
        <v>Industriestrasse 5, 3000 Bern, Switzerland</v>
      </c>
    </row>
    <row r="3" spans="1:9" x14ac:dyDescent="0.3">
      <c r="A3" s="19" t="s">
        <v>1422</v>
      </c>
      <c r="B3">
        <v>0</v>
      </c>
      <c r="C3">
        <v>86.111999999999995</v>
      </c>
      <c r="D3">
        <v>252.738</v>
      </c>
      <c r="E3">
        <v>7.444</v>
      </c>
      <c r="F3">
        <v>98.123999999999995</v>
      </c>
      <c r="G3">
        <v>260.46199999999999</v>
      </c>
      <c r="H3">
        <v>80.600999999999999</v>
      </c>
    </row>
    <row r="4" spans="1:9" x14ac:dyDescent="0.3">
      <c r="A4" t="s">
        <v>1367</v>
      </c>
      <c r="B4">
        <v>89.41</v>
      </c>
      <c r="C4">
        <v>0</v>
      </c>
      <c r="D4">
        <v>286.15499999999997</v>
      </c>
      <c r="E4">
        <v>95.543000000000006</v>
      </c>
      <c r="F4">
        <v>71.727000000000004</v>
      </c>
      <c r="G4">
        <v>220.517</v>
      </c>
      <c r="H4">
        <v>114.018</v>
      </c>
    </row>
    <row r="5" spans="1:9" x14ac:dyDescent="0.3">
      <c r="A5" t="s">
        <v>1368</v>
      </c>
      <c r="B5">
        <v>253.18199999999999</v>
      </c>
      <c r="C5">
        <v>283.09699999999998</v>
      </c>
      <c r="D5">
        <v>0</v>
      </c>
      <c r="E5">
        <v>259.315</v>
      </c>
      <c r="F5">
        <v>270.613</v>
      </c>
      <c r="G5">
        <v>396.11500000000001</v>
      </c>
      <c r="H5">
        <v>172.42099999999999</v>
      </c>
    </row>
    <row r="6" spans="1:9" x14ac:dyDescent="0.3">
      <c r="A6" t="s">
        <v>1369</v>
      </c>
      <c r="B6">
        <v>8.4969999999999999</v>
      </c>
      <c r="C6">
        <v>91.915000000000006</v>
      </c>
      <c r="D6">
        <v>258.541</v>
      </c>
      <c r="E6">
        <v>0</v>
      </c>
      <c r="F6">
        <v>103.92700000000001</v>
      </c>
      <c r="G6">
        <v>266.26499999999999</v>
      </c>
      <c r="H6">
        <v>86.403999999999996</v>
      </c>
    </row>
    <row r="7" spans="1:9" x14ac:dyDescent="0.3">
      <c r="A7" t="s">
        <v>1371</v>
      </c>
      <c r="B7">
        <v>99.655000000000001</v>
      </c>
      <c r="C7">
        <v>69.73</v>
      </c>
      <c r="D7">
        <v>271.916</v>
      </c>
      <c r="E7">
        <v>105.788</v>
      </c>
      <c r="F7">
        <v>0</v>
      </c>
      <c r="G7">
        <v>163.54499999999999</v>
      </c>
      <c r="H7">
        <v>99.778999999999996</v>
      </c>
    </row>
    <row r="8" spans="1:9" x14ac:dyDescent="0.3">
      <c r="A8" t="s">
        <v>1373</v>
      </c>
      <c r="B8">
        <v>260.17099999999999</v>
      </c>
      <c r="C8">
        <v>216.625</v>
      </c>
      <c r="D8">
        <v>392.79300000000001</v>
      </c>
      <c r="E8">
        <v>266.30399999999997</v>
      </c>
      <c r="F8">
        <v>163.47800000000001</v>
      </c>
      <c r="G8">
        <v>0</v>
      </c>
      <c r="H8">
        <v>260.29500000000002</v>
      </c>
    </row>
    <row r="9" spans="1:9" ht="15" thickBot="1" x14ac:dyDescent="0.35">
      <c r="A9" s="26" t="s">
        <v>1374</v>
      </c>
      <c r="B9">
        <v>80.698999999999998</v>
      </c>
      <c r="C9">
        <v>110.614</v>
      </c>
      <c r="D9">
        <v>171.43799999999999</v>
      </c>
      <c r="E9">
        <v>86.831999999999994</v>
      </c>
      <c r="F9">
        <v>98.13</v>
      </c>
      <c r="G9">
        <v>260.46800000000002</v>
      </c>
      <c r="H9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A326-A082-40E5-9ED1-4850E836AF09}">
  <sheetPr codeName="Feuil22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1422</v>
      </c>
      <c r="B2" s="24" t="s">
        <v>240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A88A4-9168-410E-9DC8-DFA33FE8EA66}">
  <sheetPr codeName="Feuil23"/>
  <dimension ref="A1:B7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t="s">
        <v>1367</v>
      </c>
      <c r="B2" t="str" cm="1">
        <f t="array" ref="B2">GetCoordinatesBingSimple(A2)</f>
        <v>47.415142,8.5633905</v>
      </c>
    </row>
    <row r="3" spans="1:2" x14ac:dyDescent="0.3">
      <c r="A3" t="s">
        <v>1368</v>
      </c>
      <c r="B3" t="str" cm="1">
        <f t="array" ref="B3">GetCoordinatesBingSimple(A3)</f>
        <v>46.2009431,6.06616731</v>
      </c>
    </row>
    <row r="4" spans="1:2" x14ac:dyDescent="0.3">
      <c r="A4" t="s">
        <v>1369</v>
      </c>
      <c r="B4" t="str" cm="1">
        <f t="array" ref="B4">GetCoordinatesBingSimple(A4)</f>
        <v>47.5574566,7.546993</v>
      </c>
    </row>
    <row r="5" spans="1:2" x14ac:dyDescent="0.3">
      <c r="A5" t="s">
        <v>1371</v>
      </c>
      <c r="B5" t="str" cm="1">
        <f t="array" ref="B5">GetCoordinatesBingSimple(A5)</f>
        <v>47.0238171,8.2998817</v>
      </c>
    </row>
    <row r="6" spans="1:2" x14ac:dyDescent="0.3">
      <c r="A6" t="s">
        <v>1373</v>
      </c>
      <c r="B6" t="str" cm="1">
        <f t="array" ref="B6">GetCoordinatesBingSimple(A6)</f>
        <v>46.03527173,8.93067657</v>
      </c>
    </row>
    <row r="7" spans="1:2" ht="15" thickBot="1" x14ac:dyDescent="0.35">
      <c r="A7" s="26" t="s">
        <v>1374</v>
      </c>
      <c r="B7" s="27" t="str" cm="1">
        <f t="array" ref="B7">GetCoordinatesBingSimple(A7)</f>
        <v>47.17686153,7.36224212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2B6FE-664C-4F6E-BB9A-2EB732C2A140}">
  <sheetPr codeName="Feuil24"/>
  <dimension ref="A1:D4"/>
  <sheetViews>
    <sheetView workbookViewId="0">
      <selection activeCell="A3" sqref="A3"/>
    </sheetView>
  </sheetViews>
  <sheetFormatPr baseColWidth="10" defaultRowHeight="14.4" x14ac:dyDescent="0.3"/>
  <cols>
    <col min="2" max="2" width="15.21875" bestFit="1" customWidth="1"/>
  </cols>
  <sheetData>
    <row r="1" spans="1:4" x14ac:dyDescent="0.3">
      <c r="A1" t="s">
        <v>171</v>
      </c>
      <c r="B1" t="s">
        <v>172</v>
      </c>
      <c r="C1" t="s">
        <v>173</v>
      </c>
      <c r="D1" t="s">
        <v>174</v>
      </c>
    </row>
    <row r="2" spans="1:4" x14ac:dyDescent="0.3">
      <c r="A2" t="s">
        <v>23</v>
      </c>
      <c r="B2" t="str" cm="1">
        <f t="array" ref="B2:C2">TRANSPOSE(A3:A4)</f>
        <v>12 Alice Ln, Sandhurst, Sandton, 2146, Afrique du Sud</v>
      </c>
      <c r="C2" t="str">
        <v>KwaZulu-Natal, South Africa.</v>
      </c>
    </row>
    <row r="3" spans="1:4" ht="15" thickBot="1" x14ac:dyDescent="0.35">
      <c r="A3" s="19" t="s">
        <v>1404</v>
      </c>
      <c r="B3">
        <v>0</v>
      </c>
      <c r="C3">
        <v>553.72699999999998</v>
      </c>
    </row>
    <row r="4" spans="1:4" ht="15" thickBot="1" x14ac:dyDescent="0.35">
      <c r="A4" s="36" t="s">
        <v>1385</v>
      </c>
      <c r="B4">
        <v>553.22900000000004</v>
      </c>
      <c r="C4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E29CB-33B8-4E9E-AF1B-F9FDAAF7655E}">
  <sheetPr codeName="Feuil25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1404</v>
      </c>
      <c r="B2" s="24" t="s">
        <v>269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9C6BD-E01C-41B4-A736-3F7F85B7F3EF}">
  <sheetPr codeName="Feuil26"/>
  <dimension ref="A1:B2"/>
  <sheetViews>
    <sheetView topLeftCell="A2" workbookViewId="0">
      <selection activeCell="I26" sqref="I26"/>
    </sheetView>
  </sheetViews>
  <sheetFormatPr baseColWidth="10" defaultRowHeight="14.4" x14ac:dyDescent="0.3"/>
  <sheetData>
    <row r="1" spans="1:2" ht="15" thickBot="1" x14ac:dyDescent="0.35">
      <c r="A1" t="s">
        <v>169</v>
      </c>
      <c r="B1" t="s">
        <v>170</v>
      </c>
    </row>
    <row r="2" spans="1:2" ht="15" thickBot="1" x14ac:dyDescent="0.35">
      <c r="A2" s="36" t="s">
        <v>1385</v>
      </c>
      <c r="B2" s="37" t="str" cm="1">
        <f t="array" ref="B2">GetCoordinatesBingSimple(A2)</f>
        <v>-28.72790337,30.72720528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85D28-2B16-456C-8571-96337619AC86}">
  <sheetPr codeName="Feuil27"/>
  <dimension ref="A1:H8"/>
  <sheetViews>
    <sheetView workbookViewId="0">
      <selection activeCell="A3" sqref="A3:A5"/>
    </sheetView>
  </sheetViews>
  <sheetFormatPr baseColWidth="10" defaultRowHeight="14.4" x14ac:dyDescent="0.3"/>
  <sheetData>
    <row r="1" spans="1:8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</row>
    <row r="2" spans="1:8" x14ac:dyDescent="0.3">
      <c r="A2" t="s">
        <v>23</v>
      </c>
      <c r="B2" t="str" cm="1">
        <f t="array" ref="B2:G2">TRANSPOSE(A3:A8)</f>
        <v>Istinyepark AVM, Pinar mah. Katar cad. No:11</v>
      </c>
      <c r="C2" t="str">
        <v>Emaar Square AVM, Ünalan Mah. Libadiye Caddesi No:88</v>
      </c>
      <c r="D2" t="str">
        <v>Istanbul Airport International Departures</v>
      </c>
      <c r="E2" t="str">
        <v>Dudullu OSB, DES Sanayi Sitesi, 2. Cadde No: 4, Ümraniye, Istanbul, Turkey</v>
      </c>
      <c r="F2" t="str">
        <v>Oğuzlar Mahallesi, Ceyhun Atıf Kansu Caddesi, 1456. Sokak No:2/12 Balgat, Çankaya, Ankara, Turkey</v>
      </c>
      <c r="G2" t="str">
        <v>Atatürk Organize Sanayi Bölgesi 10035 Sokak No: 5, Çiğli, Izmir, Turkey</v>
      </c>
    </row>
    <row r="3" spans="1:8" x14ac:dyDescent="0.3">
      <c r="A3" s="19" t="s">
        <v>1416</v>
      </c>
      <c r="B3">
        <v>0</v>
      </c>
      <c r="C3">
        <v>16.305</v>
      </c>
      <c r="D3">
        <v>36.668999999999997</v>
      </c>
      <c r="E3">
        <v>20.613</v>
      </c>
      <c r="F3">
        <v>451.447</v>
      </c>
      <c r="G3">
        <v>483.43400000000003</v>
      </c>
    </row>
    <row r="4" spans="1:8" x14ac:dyDescent="0.3">
      <c r="A4" t="s">
        <v>1417</v>
      </c>
      <c r="B4">
        <v>19.381</v>
      </c>
      <c r="C4">
        <v>0</v>
      </c>
      <c r="D4">
        <v>49.738999999999997</v>
      </c>
      <c r="E4">
        <v>13.794</v>
      </c>
      <c r="F4">
        <v>433.64299999999997</v>
      </c>
      <c r="G4">
        <v>465.97800000000001</v>
      </c>
    </row>
    <row r="5" spans="1:8" x14ac:dyDescent="0.3">
      <c r="A5" t="s">
        <v>1418</v>
      </c>
      <c r="B5">
        <v>41.680999999999997</v>
      </c>
      <c r="C5">
        <v>53.540999999999997</v>
      </c>
      <c r="D5">
        <v>0</v>
      </c>
      <c r="E5">
        <v>47.298999999999999</v>
      </c>
      <c r="F5">
        <v>483.41300000000001</v>
      </c>
      <c r="G5">
        <v>520.52200000000005</v>
      </c>
    </row>
    <row r="6" spans="1:8" x14ac:dyDescent="0.3">
      <c r="A6" t="s">
        <v>1382</v>
      </c>
      <c r="B6">
        <v>20.481000000000002</v>
      </c>
      <c r="C6">
        <v>16.437000000000001</v>
      </c>
      <c r="D6">
        <v>47.728000000000002</v>
      </c>
      <c r="E6">
        <v>0</v>
      </c>
      <c r="F6">
        <v>448.65499999999997</v>
      </c>
      <c r="G6">
        <v>480.99</v>
      </c>
    </row>
    <row r="7" spans="1:8" x14ac:dyDescent="0.3">
      <c r="A7" t="s">
        <v>1383</v>
      </c>
      <c r="B7">
        <v>453.38</v>
      </c>
      <c r="C7">
        <v>436.69099999999997</v>
      </c>
      <c r="D7">
        <v>484.80700000000002</v>
      </c>
      <c r="E7">
        <v>447.03</v>
      </c>
      <c r="F7">
        <v>0</v>
      </c>
      <c r="G7">
        <v>587.56500000000005</v>
      </c>
    </row>
    <row r="8" spans="1:8" ht="15" thickBot="1" x14ac:dyDescent="0.35">
      <c r="A8" s="26" t="s">
        <v>1384</v>
      </c>
      <c r="B8">
        <v>483.94400000000002</v>
      </c>
      <c r="C8">
        <v>467.84300000000002</v>
      </c>
      <c r="D8">
        <v>520.93600000000004</v>
      </c>
      <c r="E8">
        <v>478.18200000000002</v>
      </c>
      <c r="F8">
        <v>586.79999999999995</v>
      </c>
      <c r="G8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F91D6-EF2E-4510-8ACC-2CC4EF4430E0}">
  <sheetPr codeName="Feuil28"/>
  <dimension ref="A1:B4"/>
  <sheetViews>
    <sheetView workbookViewId="0">
      <selection activeCell="A2" sqref="A2:A4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1416</v>
      </c>
      <c r="B2" s="24" t="s">
        <v>265</v>
      </c>
    </row>
    <row r="3" spans="1:2" x14ac:dyDescent="0.3">
      <c r="A3" t="s">
        <v>1417</v>
      </c>
      <c r="B3" s="24" t="s">
        <v>266</v>
      </c>
    </row>
    <row r="4" spans="1:2" x14ac:dyDescent="0.3">
      <c r="A4" t="s">
        <v>1418</v>
      </c>
      <c r="B4" s="24" t="s">
        <v>267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1E1FB-1143-4A6A-A36B-F1F0F3961958}">
  <sheetPr codeName="Feuil29"/>
  <dimension ref="A1:B4"/>
  <sheetViews>
    <sheetView workbookViewId="0">
      <selection activeCell="A2" sqref="A2:A4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t="s">
        <v>1382</v>
      </c>
      <c r="B2" s="24" t="str" cm="1">
        <f t="array" ref="B2">GetCoordinatesBingSimple(A2)</f>
        <v>41.01300049,28.96380043</v>
      </c>
    </row>
    <row r="3" spans="1:2" x14ac:dyDescent="0.3">
      <c r="A3" t="s">
        <v>1383</v>
      </c>
      <c r="B3" s="24" t="str" cm="1">
        <f t="array" ref="B3">GetCoordinatesBingSimple(A3)</f>
        <v>39.87478269,32.81667975</v>
      </c>
    </row>
    <row r="4" spans="1:2" ht="15" thickBot="1" x14ac:dyDescent="0.35">
      <c r="A4" s="26" t="s">
        <v>1384</v>
      </c>
      <c r="B4" s="27" t="str" cm="1">
        <f t="array" ref="B4">GetCoordinatesBingSimple(A4)</f>
        <v>38.41872406,27.12960052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F85C-1488-4913-A404-8C6481F593C4}">
  <sheetPr codeName="Feuil30"/>
  <dimension ref="A1:O15"/>
  <sheetViews>
    <sheetView workbookViewId="0">
      <selection activeCell="A3" sqref="A3:A5"/>
    </sheetView>
  </sheetViews>
  <sheetFormatPr baseColWidth="10" defaultRowHeight="14.4" x14ac:dyDescent="0.3"/>
  <sheetData>
    <row r="1" spans="1:15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</row>
    <row r="2" spans="1:15" x14ac:dyDescent="0.3">
      <c r="A2" t="s">
        <v>23</v>
      </c>
      <c r="B2" t="str" cm="1">
        <f t="array" ref="B2:N2">TRANSPOSE(A3:A15)</f>
        <v>143-144 Sloane Street</v>
      </c>
      <c r="C2" t="str">
        <v>175-177 New Bond Street</v>
      </c>
      <c r="D2" t="str">
        <v>40-41 Old Bond Street</v>
      </c>
      <c r="E2" t="str">
        <v>Harrods</v>
      </c>
      <c r="F2" t="str">
        <v>Heathrow T4</v>
      </c>
      <c r="G2" t="str">
        <v>Heathrow T3</v>
      </c>
      <c r="H2" t="str">
        <v>Heathrow T5</v>
      </c>
      <c r="I2" t="str">
        <v>Selfridges</v>
      </c>
      <c r="J2" t="str">
        <v>Off St Philips Avenue, BN22 8NB</v>
      </c>
      <c r="K2" t="str">
        <v>Off Station Road, Hailsham, BN27 2BY</v>
      </c>
      <c r="L2" t="str">
        <v>Freshfields, Hastings, TN38 8AY</v>
      </c>
      <c r="M2" t="str">
        <v>43 Devon Street, SE15 1AL, London</v>
      </c>
      <c r="N2" t="str">
        <v>James Bridge, Darlaston, Wednesbury, WS10 9PD, UK</v>
      </c>
    </row>
    <row r="3" spans="1:15" x14ac:dyDescent="0.3">
      <c r="A3" t="s">
        <v>1419</v>
      </c>
      <c r="B3">
        <v>0</v>
      </c>
      <c r="C3">
        <v>3.0339999999999998</v>
      </c>
      <c r="D3">
        <v>3.2040000000000002</v>
      </c>
      <c r="E3">
        <v>1.4830000000000001</v>
      </c>
      <c r="F3">
        <v>24.952000000000002</v>
      </c>
      <c r="G3">
        <v>25.253</v>
      </c>
      <c r="H3">
        <v>28.547000000000001</v>
      </c>
      <c r="I3">
        <v>3.9049999999999998</v>
      </c>
      <c r="J3">
        <v>186.91800000000001</v>
      </c>
      <c r="K3">
        <v>129.60400000000001</v>
      </c>
      <c r="L3">
        <v>118.53100000000001</v>
      </c>
      <c r="M3">
        <v>8.9939999999999998</v>
      </c>
      <c r="N3">
        <v>214.82300000000001</v>
      </c>
    </row>
    <row r="4" spans="1:15" x14ac:dyDescent="0.3">
      <c r="A4" t="s">
        <v>1420</v>
      </c>
      <c r="B4">
        <v>3.1379999999999999</v>
      </c>
      <c r="C4">
        <v>0</v>
      </c>
      <c r="D4">
        <v>0.16900000000000001</v>
      </c>
      <c r="E4">
        <v>2.645</v>
      </c>
      <c r="F4">
        <v>26.655999999999999</v>
      </c>
      <c r="G4">
        <v>26.957000000000001</v>
      </c>
      <c r="H4">
        <v>30.251000000000001</v>
      </c>
      <c r="I4">
        <v>2.0049999999999999</v>
      </c>
      <c r="J4">
        <v>188.62200000000001</v>
      </c>
      <c r="K4">
        <v>115.422</v>
      </c>
      <c r="L4">
        <v>119.553</v>
      </c>
      <c r="M4">
        <v>7.7919999999999998</v>
      </c>
      <c r="N4">
        <v>211.54599999999999</v>
      </c>
    </row>
    <row r="5" spans="1:15" x14ac:dyDescent="0.3">
      <c r="A5" t="s">
        <v>1421</v>
      </c>
      <c r="B5">
        <v>2.9889999999999999</v>
      </c>
      <c r="C5">
        <v>0.85799999999999998</v>
      </c>
      <c r="D5">
        <v>0</v>
      </c>
      <c r="E5">
        <v>2.496</v>
      </c>
      <c r="F5">
        <v>26.507000000000001</v>
      </c>
      <c r="G5">
        <v>26.808</v>
      </c>
      <c r="H5">
        <v>30.102</v>
      </c>
      <c r="I5">
        <v>2.23</v>
      </c>
      <c r="J5">
        <v>188.47300000000001</v>
      </c>
      <c r="K5">
        <v>115.252</v>
      </c>
      <c r="L5">
        <v>119.383</v>
      </c>
      <c r="M5">
        <v>7.6219999999999999</v>
      </c>
      <c r="N5">
        <v>212.14699999999999</v>
      </c>
    </row>
    <row r="6" spans="1:15" x14ac:dyDescent="0.3">
      <c r="A6" t="s">
        <v>249</v>
      </c>
      <c r="B6">
        <v>0.92</v>
      </c>
      <c r="C6">
        <v>2.548</v>
      </c>
      <c r="D6">
        <v>2.718</v>
      </c>
      <c r="E6">
        <v>0</v>
      </c>
      <c r="F6">
        <v>24.443000000000001</v>
      </c>
      <c r="G6">
        <v>24.744</v>
      </c>
      <c r="H6">
        <v>28.038</v>
      </c>
      <c r="I6">
        <v>3.8180000000000001</v>
      </c>
      <c r="J6">
        <v>186.40899999999999</v>
      </c>
      <c r="K6">
        <v>129.99100000000001</v>
      </c>
      <c r="L6">
        <v>119.45099999999999</v>
      </c>
      <c r="M6">
        <v>9.9139999999999997</v>
      </c>
      <c r="N6">
        <v>214.31399999999999</v>
      </c>
    </row>
    <row r="7" spans="1:15" x14ac:dyDescent="0.3">
      <c r="A7" t="s">
        <v>250</v>
      </c>
      <c r="B7">
        <v>25.17</v>
      </c>
      <c r="C7">
        <v>26.725999999999999</v>
      </c>
      <c r="D7">
        <v>26.896000000000001</v>
      </c>
      <c r="E7">
        <v>24.38</v>
      </c>
      <c r="F7">
        <v>0</v>
      </c>
      <c r="G7">
        <v>8.1910000000000007</v>
      </c>
      <c r="H7">
        <v>6.6550000000000002</v>
      </c>
      <c r="I7">
        <v>27.178999999999998</v>
      </c>
      <c r="J7">
        <v>170.69</v>
      </c>
      <c r="K7">
        <v>136.58099999999999</v>
      </c>
      <c r="L7">
        <v>140.529</v>
      </c>
      <c r="M7">
        <v>34.051000000000002</v>
      </c>
      <c r="N7">
        <v>198.804</v>
      </c>
    </row>
    <row r="8" spans="1:15" x14ac:dyDescent="0.3">
      <c r="A8" t="s">
        <v>251</v>
      </c>
      <c r="B8">
        <v>25.138999999999999</v>
      </c>
      <c r="C8">
        <v>26.695</v>
      </c>
      <c r="D8">
        <v>26.864999999999998</v>
      </c>
      <c r="E8">
        <v>24.349</v>
      </c>
      <c r="F8">
        <v>3.9830000000000001</v>
      </c>
      <c r="G8">
        <v>0</v>
      </c>
      <c r="H8">
        <v>9.4570000000000007</v>
      </c>
      <c r="I8">
        <v>27.148</v>
      </c>
      <c r="J8">
        <v>167.828</v>
      </c>
      <c r="K8">
        <v>139.74600000000001</v>
      </c>
      <c r="L8">
        <v>143.69399999999999</v>
      </c>
      <c r="M8">
        <v>34.020000000000003</v>
      </c>
      <c r="N8">
        <v>195.733</v>
      </c>
    </row>
    <row r="9" spans="1:15" x14ac:dyDescent="0.3">
      <c r="A9" t="s">
        <v>252</v>
      </c>
      <c r="B9">
        <v>29.6</v>
      </c>
      <c r="C9">
        <v>31.155999999999999</v>
      </c>
      <c r="D9">
        <v>31.326000000000001</v>
      </c>
      <c r="E9">
        <v>28.81</v>
      </c>
      <c r="F9">
        <v>5.8319999999999999</v>
      </c>
      <c r="G9">
        <v>11.08</v>
      </c>
      <c r="H9">
        <v>0</v>
      </c>
      <c r="I9">
        <v>31.609000000000002</v>
      </c>
      <c r="J9">
        <v>166.26599999999999</v>
      </c>
      <c r="K9">
        <v>133.20699999999999</v>
      </c>
      <c r="L9">
        <v>137.155</v>
      </c>
      <c r="M9">
        <v>38.481000000000002</v>
      </c>
      <c r="N9">
        <v>194.38</v>
      </c>
    </row>
    <row r="10" spans="1:15" x14ac:dyDescent="0.3">
      <c r="A10" t="s">
        <v>253</v>
      </c>
      <c r="B10">
        <v>3.7949999999999999</v>
      </c>
      <c r="C10">
        <v>1.99</v>
      </c>
      <c r="D10">
        <v>1.669</v>
      </c>
      <c r="E10">
        <v>3.5059999999999998</v>
      </c>
      <c r="F10">
        <v>28.091999999999999</v>
      </c>
      <c r="G10">
        <v>28.393000000000001</v>
      </c>
      <c r="H10">
        <v>40.267000000000003</v>
      </c>
      <c r="I10">
        <v>0</v>
      </c>
      <c r="J10">
        <v>198.411</v>
      </c>
      <c r="K10">
        <v>116.678</v>
      </c>
      <c r="L10">
        <v>120.809</v>
      </c>
      <c r="M10">
        <v>10.864000000000001</v>
      </c>
      <c r="N10">
        <v>210.11799999999999</v>
      </c>
    </row>
    <row r="11" spans="1:15" x14ac:dyDescent="0.3">
      <c r="A11" t="s">
        <v>1376</v>
      </c>
      <c r="B11">
        <v>187.31100000000001</v>
      </c>
      <c r="C11">
        <v>188.86699999999999</v>
      </c>
      <c r="D11">
        <v>189.03700000000001</v>
      </c>
      <c r="E11">
        <v>186.52099999999999</v>
      </c>
      <c r="F11">
        <v>170.84399999999999</v>
      </c>
      <c r="G11">
        <v>168.791</v>
      </c>
      <c r="H11">
        <v>166.477</v>
      </c>
      <c r="I11">
        <v>189.32</v>
      </c>
      <c r="J11">
        <v>0</v>
      </c>
      <c r="K11">
        <v>284.68400000000003</v>
      </c>
      <c r="L11">
        <v>288.63200000000001</v>
      </c>
      <c r="M11">
        <v>196.19200000000001</v>
      </c>
      <c r="N11">
        <v>148.69999999999999</v>
      </c>
    </row>
    <row r="12" spans="1:15" x14ac:dyDescent="0.3">
      <c r="A12" t="s">
        <v>1377</v>
      </c>
      <c r="B12">
        <v>128.79499999999999</v>
      </c>
      <c r="C12">
        <v>114.569</v>
      </c>
      <c r="D12">
        <v>114.739</v>
      </c>
      <c r="E12">
        <v>157.59700000000001</v>
      </c>
      <c r="F12">
        <v>135.59299999999999</v>
      </c>
      <c r="G12">
        <v>139.86699999999999</v>
      </c>
      <c r="H12">
        <v>132.69</v>
      </c>
      <c r="I12">
        <v>115.59</v>
      </c>
      <c r="J12">
        <v>282.56099999999998</v>
      </c>
      <c r="K12">
        <v>0</v>
      </c>
      <c r="L12">
        <v>26.007000000000001</v>
      </c>
      <c r="M12">
        <v>105.08</v>
      </c>
      <c r="N12">
        <v>323.16699999999997</v>
      </c>
    </row>
    <row r="13" spans="1:15" x14ac:dyDescent="0.3">
      <c r="A13" t="s">
        <v>1378</v>
      </c>
      <c r="B13">
        <v>121.17700000000001</v>
      </c>
      <c r="C13">
        <v>119.04600000000001</v>
      </c>
      <c r="D13">
        <v>119.21599999999999</v>
      </c>
      <c r="E13">
        <v>120.684</v>
      </c>
      <c r="F13">
        <v>139.136</v>
      </c>
      <c r="G13">
        <v>143.41</v>
      </c>
      <c r="H13">
        <v>136.233</v>
      </c>
      <c r="I13">
        <v>120.06699999999999</v>
      </c>
      <c r="J13">
        <v>286.10399999999998</v>
      </c>
      <c r="K13">
        <v>27.004999999999999</v>
      </c>
      <c r="L13">
        <v>0</v>
      </c>
      <c r="M13">
        <v>109.557</v>
      </c>
      <c r="N13">
        <v>326.70999999999998</v>
      </c>
    </row>
    <row r="14" spans="1:15" x14ac:dyDescent="0.3">
      <c r="A14" t="s">
        <v>1380</v>
      </c>
      <c r="B14">
        <v>8.5570000000000004</v>
      </c>
      <c r="C14">
        <v>8.1709999999999994</v>
      </c>
      <c r="D14">
        <v>8.3409999999999993</v>
      </c>
      <c r="E14">
        <v>9.1760000000000002</v>
      </c>
      <c r="F14">
        <v>33.631999999999998</v>
      </c>
      <c r="G14">
        <v>33.933</v>
      </c>
      <c r="H14">
        <v>37.226999999999997</v>
      </c>
      <c r="I14">
        <v>10.411</v>
      </c>
      <c r="J14">
        <v>195.59800000000001</v>
      </c>
      <c r="K14">
        <v>105.655</v>
      </c>
      <c r="L14">
        <v>109.786</v>
      </c>
      <c r="M14">
        <v>0</v>
      </c>
      <c r="N14">
        <v>219.429</v>
      </c>
    </row>
    <row r="15" spans="1:15" ht="15" thickBot="1" x14ac:dyDescent="0.35">
      <c r="A15" s="26" t="s">
        <v>1379</v>
      </c>
      <c r="B15">
        <v>215.28200000000001</v>
      </c>
      <c r="C15">
        <v>216.83799999999999</v>
      </c>
      <c r="D15">
        <v>212.31</v>
      </c>
      <c r="E15">
        <v>214.49199999999999</v>
      </c>
      <c r="F15">
        <v>198.99799999999999</v>
      </c>
      <c r="G15">
        <v>196.762</v>
      </c>
      <c r="H15">
        <v>194.631</v>
      </c>
      <c r="I15">
        <v>210.732</v>
      </c>
      <c r="J15">
        <v>148.40600000000001</v>
      </c>
      <c r="K15">
        <v>324.92</v>
      </c>
      <c r="L15">
        <v>328.86799999999999</v>
      </c>
      <c r="M15">
        <v>219.72300000000001</v>
      </c>
      <c r="N15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5BB0F-C423-4BA2-AA2C-EBC1D7066752}">
  <sheetPr codeName="Feuil31"/>
  <dimension ref="A1:B9"/>
  <sheetViews>
    <sheetView workbookViewId="0">
      <selection activeCell="A2" sqref="A2:A4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t="s">
        <v>1419</v>
      </c>
      <c r="B2" s="24" t="s">
        <v>254</v>
      </c>
    </row>
    <row r="3" spans="1:2" x14ac:dyDescent="0.3">
      <c r="A3" t="s">
        <v>1420</v>
      </c>
      <c r="B3" s="24" t="s">
        <v>255</v>
      </c>
    </row>
    <row r="4" spans="1:2" x14ac:dyDescent="0.3">
      <c r="A4" t="s">
        <v>1421</v>
      </c>
      <c r="B4" s="24" t="s">
        <v>256</v>
      </c>
    </row>
    <row r="5" spans="1:2" x14ac:dyDescent="0.3">
      <c r="A5" t="s">
        <v>249</v>
      </c>
      <c r="B5" s="24" t="s">
        <v>257</v>
      </c>
    </row>
    <row r="6" spans="1:2" x14ac:dyDescent="0.3">
      <c r="A6" t="s">
        <v>250</v>
      </c>
      <c r="B6" s="24" t="s">
        <v>258</v>
      </c>
    </row>
    <row r="7" spans="1:2" x14ac:dyDescent="0.3">
      <c r="A7" t="s">
        <v>251</v>
      </c>
      <c r="B7" s="24" t="s">
        <v>259</v>
      </c>
    </row>
    <row r="8" spans="1:2" x14ac:dyDescent="0.3">
      <c r="A8" t="s">
        <v>252</v>
      </c>
      <c r="B8" s="24" t="s">
        <v>260</v>
      </c>
    </row>
    <row r="9" spans="1:2" x14ac:dyDescent="0.3">
      <c r="A9" t="s">
        <v>253</v>
      </c>
      <c r="B9" s="24" t="s">
        <v>261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2C80E-2D97-4D30-9D87-D9A92E6DF041}">
  <sheetPr codeName="Feuil32"/>
  <dimension ref="A1:B6"/>
  <sheetViews>
    <sheetView workbookViewId="0">
      <selection activeCell="I20" sqref="I20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t="s">
        <v>1376</v>
      </c>
      <c r="B2" s="24" t="str" cm="1">
        <f t="array" ref="B2">GetCoordinatesBingSimple(A2)</f>
        <v>51.45259476,-2.57091427</v>
      </c>
    </row>
    <row r="3" spans="1:2" x14ac:dyDescent="0.3">
      <c r="A3" t="s">
        <v>1377</v>
      </c>
      <c r="B3" s="24" t="str" cm="1">
        <f t="array" ref="B3">GetCoordinatesBingSimple(A3)</f>
        <v>50.8542232,0.2676482</v>
      </c>
    </row>
    <row r="4" spans="1:2" x14ac:dyDescent="0.3">
      <c r="A4" t="s">
        <v>1378</v>
      </c>
      <c r="B4" s="24" t="str" cm="1">
        <f t="array" ref="B4">GetCoordinatesBingSimple(A4)</f>
        <v>50.8460776,0.5103669</v>
      </c>
    </row>
    <row r="5" spans="1:2" x14ac:dyDescent="0.3">
      <c r="A5" t="s">
        <v>1380</v>
      </c>
      <c r="B5" s="24" t="str" cm="1">
        <f t="array" ref="B5">GetCoordinatesBingSimple(A5)</f>
        <v>51.4821513,-0.0572039</v>
      </c>
    </row>
    <row r="6" spans="1:2" ht="15" thickBot="1" x14ac:dyDescent="0.35">
      <c r="A6" s="26" t="s">
        <v>1379</v>
      </c>
      <c r="B6" s="27" t="str" cm="1">
        <f t="array" ref="B6">GetCoordinatesBingSimple(A6)</f>
        <v>52.57094062,-2.02030185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111D7-6F92-4AC4-A109-CDB684AD7BCC}">
  <sheetPr codeName="Feuil33"/>
  <dimension ref="A1:O15"/>
  <sheetViews>
    <sheetView workbookViewId="0">
      <selection activeCell="A3" sqref="A3:A4"/>
    </sheetView>
  </sheetViews>
  <sheetFormatPr baseColWidth="10" defaultRowHeight="14.4" x14ac:dyDescent="0.3"/>
  <sheetData>
    <row r="1" spans="1:15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</row>
    <row r="2" spans="1:15" x14ac:dyDescent="0.3">
      <c r="A2" t="s">
        <v>23</v>
      </c>
      <c r="B2" t="str" cm="1">
        <f t="array" ref="B2:N2">TRANSPOSE(A3:A15)</f>
        <v>Madrid Galeria Canalejas</v>
      </c>
      <c r="C2" t="str">
        <v>Madrid C/ Serrano, 74</v>
      </c>
      <c r="D2" t="str">
        <v>Paseo de la Castellana, 216, 28046 Madrid, Spain</v>
      </c>
      <c r="E2" t="str">
        <v>Carrer de Balmes, 114, 08008 Barcelona, Spain</v>
      </c>
      <c r="F2" t="str">
        <v>Avenida del Camino de lo Cortao, 34, 28703 San Sebastián de los Reyes, Madrid, Spain</v>
      </c>
      <c r="G2" t="str">
        <v>Polígono Industrial Riu Clar, Carrer del Plom, 8, 43006 Tarragona, Espagne.</v>
      </c>
      <c r="H2" t="str">
        <v>Calle de Torrelaguna, 77, 28027 Madrid, Espagne.</v>
      </c>
      <c r="I2" t="str">
        <v>Polígono Guadalhorce, Calle Concepción Arenal, 25, 29004 Málaga, Espagne.</v>
      </c>
      <c r="J2" t="str">
        <v>Polígono Industrial Cogullada, Calle D, 20, 50014 Zaragoza, Espagne.</v>
      </c>
      <c r="K2" t="str">
        <v>Polígono Industrial Etxerre, Calle Araba, 5, 48970 Basauri, Bizkaia, Espagne.</v>
      </c>
      <c r="L2" t="str">
        <v>Polígono Industrial Vara de Quart, Carrer del Forn de l’Hospital, 15, 46014 Valencia, Espagne.</v>
      </c>
      <c r="M2" t="str">
        <v>Ctra. Laureà Miró, 412, 08980 Sant Feliu de Llobregat, Barcelona, Espagne.</v>
      </c>
      <c r="N2" t="str">
        <v>Carrer de Joan de Saridakis, 2, 07015 Palma, Illes Balears, Spain</v>
      </c>
    </row>
    <row r="3" spans="1:15" x14ac:dyDescent="0.3">
      <c r="A3" s="19" t="s">
        <v>1431</v>
      </c>
      <c r="B3">
        <v>0</v>
      </c>
      <c r="C3">
        <v>2.323</v>
      </c>
      <c r="D3">
        <v>6.1790000000000003</v>
      </c>
      <c r="E3">
        <v>614.74800000000005</v>
      </c>
      <c r="F3">
        <v>23.327000000000002</v>
      </c>
      <c r="G3">
        <v>542.42700000000002</v>
      </c>
      <c r="H3">
        <v>8.7609999999999992</v>
      </c>
      <c r="I3">
        <v>538.09199999999998</v>
      </c>
      <c r="J3">
        <v>309.41500000000002</v>
      </c>
      <c r="K3">
        <v>394.75400000000002</v>
      </c>
      <c r="L3">
        <v>355.72800000000001</v>
      </c>
      <c r="M3">
        <v>603.61099999999999</v>
      </c>
      <c r="N3">
        <v>690.029</v>
      </c>
    </row>
    <row r="4" spans="1:15" ht="15" thickBot="1" x14ac:dyDescent="0.35">
      <c r="A4" s="19" t="s">
        <v>1430</v>
      </c>
      <c r="B4">
        <v>2.2959999999999998</v>
      </c>
      <c r="C4">
        <v>0</v>
      </c>
      <c r="D4">
        <v>4.3330000000000002</v>
      </c>
      <c r="E4">
        <v>612.26199999999994</v>
      </c>
      <c r="F4">
        <v>20.209</v>
      </c>
      <c r="G4">
        <v>539.94100000000003</v>
      </c>
      <c r="H4">
        <v>5.2880000000000003</v>
      </c>
      <c r="I4">
        <v>537.78300000000002</v>
      </c>
      <c r="J4">
        <v>306.92899999999997</v>
      </c>
      <c r="K4">
        <v>391.63600000000002</v>
      </c>
      <c r="L4">
        <v>355.91800000000001</v>
      </c>
      <c r="M4">
        <v>601.125</v>
      </c>
      <c r="N4">
        <v>690.21900000000005</v>
      </c>
    </row>
    <row r="5" spans="1:15" x14ac:dyDescent="0.3">
      <c r="A5" s="20" t="s">
        <v>1323</v>
      </c>
      <c r="B5">
        <v>7.0540000000000003</v>
      </c>
      <c r="C5">
        <v>5.3150000000000004</v>
      </c>
      <c r="D5">
        <v>0</v>
      </c>
      <c r="E5">
        <v>614.78499999999997</v>
      </c>
      <c r="F5">
        <v>14.727</v>
      </c>
      <c r="G5">
        <v>542.46400000000006</v>
      </c>
      <c r="H5">
        <v>5.8179999999999996</v>
      </c>
      <c r="I5">
        <v>544.32100000000003</v>
      </c>
      <c r="J5">
        <v>309.452</v>
      </c>
      <c r="K5">
        <v>386.154</v>
      </c>
      <c r="L5">
        <v>361.42500000000001</v>
      </c>
      <c r="M5">
        <v>603.64800000000002</v>
      </c>
      <c r="N5">
        <v>695.726</v>
      </c>
    </row>
    <row r="6" spans="1:15" x14ac:dyDescent="0.3">
      <c r="A6" s="23" t="s">
        <v>1324</v>
      </c>
      <c r="B6">
        <v>614.68799999999999</v>
      </c>
      <c r="C6">
        <v>611.70299999999997</v>
      </c>
      <c r="D6">
        <v>621.25400000000002</v>
      </c>
      <c r="E6">
        <v>0</v>
      </c>
      <c r="F6">
        <v>608.64</v>
      </c>
      <c r="G6">
        <v>97.620999999999995</v>
      </c>
      <c r="H6">
        <v>608.12800000000004</v>
      </c>
      <c r="I6">
        <v>981.14</v>
      </c>
      <c r="J6">
        <v>309.55599999999998</v>
      </c>
      <c r="K6">
        <v>601.36599999999999</v>
      </c>
      <c r="L6">
        <v>354.13600000000002</v>
      </c>
      <c r="M6">
        <v>15.241</v>
      </c>
      <c r="N6">
        <v>272.29300000000001</v>
      </c>
    </row>
    <row r="7" spans="1:15" x14ac:dyDescent="0.3">
      <c r="A7" s="23" t="s">
        <v>1325</v>
      </c>
      <c r="B7">
        <v>22.471</v>
      </c>
      <c r="C7">
        <v>19.077999999999999</v>
      </c>
      <c r="D7">
        <v>16.018000000000001</v>
      </c>
      <c r="E7">
        <v>608.86800000000005</v>
      </c>
      <c r="F7">
        <v>0</v>
      </c>
      <c r="G7">
        <v>536.54700000000003</v>
      </c>
      <c r="H7">
        <v>16.71</v>
      </c>
      <c r="I7">
        <v>552.952</v>
      </c>
      <c r="J7">
        <v>303.53500000000003</v>
      </c>
      <c r="K7">
        <v>372.697</v>
      </c>
      <c r="L7">
        <v>370.76299999999998</v>
      </c>
      <c r="M7">
        <v>597.73099999999999</v>
      </c>
      <c r="N7">
        <v>705.06399999999996</v>
      </c>
    </row>
    <row r="8" spans="1:15" x14ac:dyDescent="0.3">
      <c r="A8" s="23" t="s">
        <v>1326</v>
      </c>
      <c r="B8">
        <v>542.702</v>
      </c>
      <c r="C8">
        <v>539.71699999999998</v>
      </c>
      <c r="D8">
        <v>549.26800000000003</v>
      </c>
      <c r="E8">
        <v>97.18</v>
      </c>
      <c r="F8">
        <v>536.654</v>
      </c>
      <c r="G8">
        <v>0</v>
      </c>
      <c r="H8">
        <v>536.14200000000005</v>
      </c>
      <c r="I8">
        <v>890.053</v>
      </c>
      <c r="J8">
        <v>237.57</v>
      </c>
      <c r="K8">
        <v>529.38</v>
      </c>
      <c r="L8">
        <v>263.04899999999998</v>
      </c>
      <c r="M8">
        <v>96.004999999999995</v>
      </c>
      <c r="N8">
        <v>365.596</v>
      </c>
    </row>
    <row r="9" spans="1:15" x14ac:dyDescent="0.3">
      <c r="A9" s="23" t="s">
        <v>1327</v>
      </c>
      <c r="B9">
        <v>8.1349999999999998</v>
      </c>
      <c r="C9">
        <v>4.5609999999999999</v>
      </c>
      <c r="D9">
        <v>6.9729999999999999</v>
      </c>
      <c r="E9">
        <v>608.55799999999999</v>
      </c>
      <c r="F9">
        <v>17.327999999999999</v>
      </c>
      <c r="G9">
        <v>536.23699999999997</v>
      </c>
      <c r="H9">
        <v>0</v>
      </c>
      <c r="I9">
        <v>538.61599999999999</v>
      </c>
      <c r="J9">
        <v>303.22500000000002</v>
      </c>
      <c r="K9">
        <v>388.755</v>
      </c>
      <c r="L9">
        <v>355.72</v>
      </c>
      <c r="M9">
        <v>597.42100000000005</v>
      </c>
      <c r="N9">
        <v>690.02099999999996</v>
      </c>
    </row>
    <row r="10" spans="1:15" x14ac:dyDescent="0.3">
      <c r="A10" s="23" t="s">
        <v>1328</v>
      </c>
      <c r="B10">
        <v>534.69600000000003</v>
      </c>
      <c r="C10">
        <v>540.10799999999995</v>
      </c>
      <c r="D10">
        <v>541.803</v>
      </c>
      <c r="E10">
        <v>981.06899999999996</v>
      </c>
      <c r="F10">
        <v>553.11800000000005</v>
      </c>
      <c r="G10">
        <v>889.745</v>
      </c>
      <c r="H10">
        <v>538.56100000000004</v>
      </c>
      <c r="I10">
        <v>0</v>
      </c>
      <c r="J10">
        <v>836.05100000000004</v>
      </c>
      <c r="K10">
        <v>924.54499999999996</v>
      </c>
      <c r="L10">
        <v>625.24099999999999</v>
      </c>
      <c r="M10">
        <v>979.89400000000001</v>
      </c>
      <c r="N10">
        <v>811.34500000000003</v>
      </c>
    </row>
    <row r="11" spans="1:15" x14ac:dyDescent="0.3">
      <c r="A11" s="23" t="s">
        <v>1329</v>
      </c>
      <c r="B11">
        <v>309.27100000000002</v>
      </c>
      <c r="C11">
        <v>306.286</v>
      </c>
      <c r="D11">
        <v>315.83699999999999</v>
      </c>
      <c r="E11">
        <v>310.399</v>
      </c>
      <c r="F11">
        <v>303.22300000000001</v>
      </c>
      <c r="G11">
        <v>238.078</v>
      </c>
      <c r="H11">
        <v>302.71100000000001</v>
      </c>
      <c r="I11">
        <v>836.17499999999995</v>
      </c>
      <c r="J11">
        <v>0</v>
      </c>
      <c r="K11">
        <v>294.95</v>
      </c>
      <c r="L11">
        <v>320.041</v>
      </c>
      <c r="M11">
        <v>299.262</v>
      </c>
      <c r="N11">
        <v>583.78800000000001</v>
      </c>
    </row>
    <row r="12" spans="1:15" x14ac:dyDescent="0.3">
      <c r="A12" s="23" t="s">
        <v>1330</v>
      </c>
      <c r="B12">
        <v>392.62</v>
      </c>
      <c r="C12">
        <v>389.22699999999998</v>
      </c>
      <c r="D12">
        <v>386.16699999999997</v>
      </c>
      <c r="E12">
        <v>600.46699999999998</v>
      </c>
      <c r="F12">
        <v>371.05099999999999</v>
      </c>
      <c r="G12">
        <v>528.14599999999996</v>
      </c>
      <c r="H12">
        <v>386.85899999999998</v>
      </c>
      <c r="I12">
        <v>923.101</v>
      </c>
      <c r="J12">
        <v>297.38200000000001</v>
      </c>
      <c r="K12">
        <v>0</v>
      </c>
      <c r="L12">
        <v>613.27800000000002</v>
      </c>
      <c r="M12">
        <v>589.33000000000004</v>
      </c>
      <c r="N12">
        <v>873.85599999999999</v>
      </c>
    </row>
    <row r="13" spans="1:15" x14ac:dyDescent="0.3">
      <c r="A13" s="23" t="s">
        <v>1331</v>
      </c>
      <c r="B13">
        <v>356.32400000000001</v>
      </c>
      <c r="C13">
        <v>356.21300000000002</v>
      </c>
      <c r="D13">
        <v>360.27699999999999</v>
      </c>
      <c r="E13">
        <v>353.6</v>
      </c>
      <c r="F13">
        <v>370.71100000000001</v>
      </c>
      <c r="G13">
        <v>262.27600000000001</v>
      </c>
      <c r="H13">
        <v>357.02600000000001</v>
      </c>
      <c r="I13">
        <v>625.101</v>
      </c>
      <c r="J13">
        <v>320.24599999999998</v>
      </c>
      <c r="K13">
        <v>614.97299999999996</v>
      </c>
      <c r="L13">
        <v>0</v>
      </c>
      <c r="M13">
        <v>352.42500000000001</v>
      </c>
      <c r="N13">
        <v>297.548</v>
      </c>
    </row>
    <row r="14" spans="1:15" x14ac:dyDescent="0.3">
      <c r="A14" s="23" t="s">
        <v>1332</v>
      </c>
      <c r="B14">
        <v>602.971</v>
      </c>
      <c r="C14">
        <v>599.98599999999999</v>
      </c>
      <c r="D14">
        <v>609.53700000000003</v>
      </c>
      <c r="E14">
        <v>13.321</v>
      </c>
      <c r="F14">
        <v>596.923</v>
      </c>
      <c r="G14">
        <v>95.88</v>
      </c>
      <c r="H14">
        <v>596.41099999999994</v>
      </c>
      <c r="I14">
        <v>979.399</v>
      </c>
      <c r="J14">
        <v>297.839</v>
      </c>
      <c r="K14">
        <v>589.649</v>
      </c>
      <c r="L14">
        <v>352.39499999999998</v>
      </c>
      <c r="M14">
        <v>0</v>
      </c>
      <c r="N14">
        <v>288.78500000000003</v>
      </c>
    </row>
    <row r="15" spans="1:15" ht="15" thickBot="1" x14ac:dyDescent="0.35">
      <c r="A15" s="25" t="s">
        <v>1402</v>
      </c>
      <c r="B15">
        <v>689.79499999999996</v>
      </c>
      <c r="C15">
        <v>689.68399999999997</v>
      </c>
      <c r="D15">
        <v>693.74800000000005</v>
      </c>
      <c r="E15">
        <v>273.01600000000002</v>
      </c>
      <c r="F15">
        <v>704.18200000000002</v>
      </c>
      <c r="G15">
        <v>366.75599999999997</v>
      </c>
      <c r="H15">
        <v>690.49699999999996</v>
      </c>
      <c r="I15">
        <v>810.78700000000003</v>
      </c>
      <c r="J15">
        <v>582.99599999999998</v>
      </c>
      <c r="K15">
        <v>874.80600000000004</v>
      </c>
      <c r="L15">
        <v>297.65199999999999</v>
      </c>
      <c r="M15">
        <v>288.68099999999998</v>
      </c>
      <c r="N15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668D-C4FA-48B3-9E1B-27E50E79D665}">
  <sheetPr codeName="Feuil34"/>
  <dimension ref="A1:B3"/>
  <sheetViews>
    <sheetView workbookViewId="0">
      <selection activeCell="A2" sqref="A2:A3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1431</v>
      </c>
      <c r="B2" s="24" t="s">
        <v>231</v>
      </c>
    </row>
    <row r="3" spans="1:2" x14ac:dyDescent="0.3">
      <c r="A3" s="19" t="s">
        <v>1430</v>
      </c>
      <c r="B3" s="24" t="s">
        <v>232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1EE8F-84A2-4953-A356-CEACFE2D881A}">
  <sheetPr codeName="Feuil35"/>
  <dimension ref="A1:N14"/>
  <sheetViews>
    <sheetView workbookViewId="0">
      <selection activeCell="A3" sqref="A3"/>
    </sheetView>
  </sheetViews>
  <sheetFormatPr baseColWidth="10" defaultRowHeight="14.4" x14ac:dyDescent="0.3"/>
  <sheetData>
    <row r="1" spans="1:14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</row>
    <row r="2" spans="1:14" x14ac:dyDescent="0.3">
      <c r="A2" t="s">
        <v>23</v>
      </c>
      <c r="B2" t="str" cm="1">
        <f t="array" ref="B2:M2">TRANSPOSE(A3:A14)</f>
        <v xml:space="preserve">Paseo de Gracia, 82, 08008 Barcelona, Cataluña </v>
      </c>
      <c r="C2" t="str">
        <v>Paseo de la Castellana, 216, 28046 Madrid, Spain</v>
      </c>
      <c r="D2" t="str">
        <v>Carrer de Balmes, 114, 08008 Barcelona, Spain</v>
      </c>
      <c r="E2" t="str">
        <v>Avenida del Camino de lo Cortao, 34, 28703 San Sebastián de los Reyes, Madrid, Spain</v>
      </c>
      <c r="F2" t="str">
        <v>Polígono Industrial Riu Clar, Carrer del Plom, 8, 43006 Tarragona, Espagne.</v>
      </c>
      <c r="G2" t="str">
        <v>Calle de Torrelaguna, 77, 28027 Madrid, Espagne.</v>
      </c>
      <c r="H2" t="str">
        <v>Polígono Guadalhorce, Calle Concepción Arenal, 25, 29004 Málaga, Espagne.</v>
      </c>
      <c r="I2" t="str">
        <v>Polígono Industrial Cogullada, Calle D, 20, 50014 Zaragoza, Espagne.</v>
      </c>
      <c r="J2" t="str">
        <v>Polígono Industrial Etxerre, Calle Araba, 5, 48970 Basauri, Bizkaia, Espagne.</v>
      </c>
      <c r="K2" t="str">
        <v>Polígono Industrial Vara de Quart, Carrer del Forn de l’Hospital, 15, 46014 Valencia, Espagne.</v>
      </c>
      <c r="L2" t="str">
        <v>Ctra. Laureà Miró, 412, 08980 Sant Feliu de Llobregat, Barcelona, Espagne.</v>
      </c>
      <c r="M2" t="str">
        <v>Carrer de Joan de Saridakis, 2, 07015 Palma, Illes Balears, Spain</v>
      </c>
    </row>
    <row r="3" spans="1:14" ht="15" thickBot="1" x14ac:dyDescent="0.35">
      <c r="A3" s="19" t="s">
        <v>1429</v>
      </c>
      <c r="B3">
        <v>0</v>
      </c>
      <c r="C3">
        <v>621.49599999999998</v>
      </c>
      <c r="D3">
        <v>1000</v>
      </c>
      <c r="E3">
        <v>608.88199999999995</v>
      </c>
      <c r="F3">
        <v>98.069000000000003</v>
      </c>
      <c r="G3">
        <v>608.37</v>
      </c>
      <c r="H3">
        <v>981.58799999999997</v>
      </c>
      <c r="I3">
        <v>309.798</v>
      </c>
      <c r="J3">
        <v>601.60799999999995</v>
      </c>
      <c r="K3">
        <v>354.584</v>
      </c>
      <c r="L3">
        <v>15.483000000000001</v>
      </c>
      <c r="M3">
        <v>272.74099999999999</v>
      </c>
    </row>
    <row r="4" spans="1:14" x14ac:dyDescent="0.3">
      <c r="A4" s="20" t="s">
        <v>1323</v>
      </c>
      <c r="B4">
        <v>615.33299999999997</v>
      </c>
      <c r="C4">
        <v>0</v>
      </c>
      <c r="D4">
        <v>614.78499999999997</v>
      </c>
      <c r="E4">
        <v>14.727</v>
      </c>
      <c r="F4">
        <v>542.46400000000006</v>
      </c>
      <c r="G4">
        <v>5.8179999999999996</v>
      </c>
      <c r="H4">
        <v>544.32100000000003</v>
      </c>
      <c r="I4">
        <v>309.452</v>
      </c>
      <c r="J4">
        <v>386.154</v>
      </c>
      <c r="K4">
        <v>361.42500000000001</v>
      </c>
      <c r="L4">
        <v>603.64800000000002</v>
      </c>
      <c r="M4">
        <v>695.726</v>
      </c>
    </row>
    <row r="5" spans="1:14" x14ac:dyDescent="0.3">
      <c r="A5" s="23" t="s">
        <v>1324</v>
      </c>
      <c r="B5">
        <v>1000</v>
      </c>
      <c r="C5">
        <v>621.25400000000002</v>
      </c>
      <c r="D5">
        <v>0</v>
      </c>
      <c r="E5">
        <v>608.64</v>
      </c>
      <c r="F5">
        <v>97.620999999999995</v>
      </c>
      <c r="G5">
        <v>608.12800000000004</v>
      </c>
      <c r="H5">
        <v>981.14</v>
      </c>
      <c r="I5">
        <v>309.55599999999998</v>
      </c>
      <c r="J5">
        <v>601.36599999999999</v>
      </c>
      <c r="K5">
        <v>354.13600000000002</v>
      </c>
      <c r="L5">
        <v>15.241</v>
      </c>
      <c r="M5">
        <v>272.29300000000001</v>
      </c>
    </row>
    <row r="6" spans="1:14" x14ac:dyDescent="0.3">
      <c r="A6" s="23" t="s">
        <v>1325</v>
      </c>
      <c r="B6">
        <v>609.41600000000005</v>
      </c>
      <c r="C6">
        <v>16.018000000000001</v>
      </c>
      <c r="D6">
        <v>608.86800000000005</v>
      </c>
      <c r="E6">
        <v>0</v>
      </c>
      <c r="F6">
        <v>536.54700000000003</v>
      </c>
      <c r="G6">
        <v>16.71</v>
      </c>
      <c r="H6">
        <v>552.952</v>
      </c>
      <c r="I6">
        <v>303.53500000000003</v>
      </c>
      <c r="J6">
        <v>372.697</v>
      </c>
      <c r="K6">
        <v>370.76299999999998</v>
      </c>
      <c r="L6">
        <v>597.73099999999999</v>
      </c>
      <c r="M6">
        <v>705.06399999999996</v>
      </c>
    </row>
    <row r="7" spans="1:14" x14ac:dyDescent="0.3">
      <c r="A7" s="23" t="s">
        <v>1326</v>
      </c>
      <c r="B7">
        <v>97.251000000000005</v>
      </c>
      <c r="C7">
        <v>549.26800000000003</v>
      </c>
      <c r="D7">
        <v>97.18</v>
      </c>
      <c r="E7">
        <v>536.654</v>
      </c>
      <c r="F7">
        <v>0</v>
      </c>
      <c r="G7">
        <v>536.14200000000005</v>
      </c>
      <c r="H7">
        <v>890.053</v>
      </c>
      <c r="I7">
        <v>237.57</v>
      </c>
      <c r="J7">
        <v>529.38</v>
      </c>
      <c r="K7">
        <v>263.04899999999998</v>
      </c>
      <c r="L7">
        <v>96.004999999999995</v>
      </c>
      <c r="M7">
        <v>365.596</v>
      </c>
    </row>
    <row r="8" spans="1:14" x14ac:dyDescent="0.3">
      <c r="A8" s="23" t="s">
        <v>1327</v>
      </c>
      <c r="B8">
        <v>609.10599999999999</v>
      </c>
      <c r="C8">
        <v>6.9729999999999999</v>
      </c>
      <c r="D8">
        <v>608.55799999999999</v>
      </c>
      <c r="E8">
        <v>17.327999999999999</v>
      </c>
      <c r="F8">
        <v>536.23699999999997</v>
      </c>
      <c r="G8">
        <v>0</v>
      </c>
      <c r="H8">
        <v>538.61599999999999</v>
      </c>
      <c r="I8">
        <v>303.22500000000002</v>
      </c>
      <c r="J8">
        <v>388.755</v>
      </c>
      <c r="K8">
        <v>355.72</v>
      </c>
      <c r="L8">
        <v>597.42100000000005</v>
      </c>
      <c r="M8">
        <v>690.02099999999996</v>
      </c>
    </row>
    <row r="9" spans="1:14" x14ac:dyDescent="0.3">
      <c r="A9" s="23" t="s">
        <v>1328</v>
      </c>
      <c r="B9">
        <v>981.14</v>
      </c>
      <c r="C9">
        <v>541.803</v>
      </c>
      <c r="D9">
        <v>981.06899999999996</v>
      </c>
      <c r="E9">
        <v>553.11800000000005</v>
      </c>
      <c r="F9">
        <v>889.745</v>
      </c>
      <c r="G9">
        <v>538.56100000000004</v>
      </c>
      <c r="H9">
        <v>0</v>
      </c>
      <c r="I9">
        <v>836.05100000000004</v>
      </c>
      <c r="J9">
        <v>924.54499999999996</v>
      </c>
      <c r="K9">
        <v>625.24099999999999</v>
      </c>
      <c r="L9">
        <v>979.89400000000001</v>
      </c>
      <c r="M9">
        <v>811.34500000000003</v>
      </c>
    </row>
    <row r="10" spans="1:14" x14ac:dyDescent="0.3">
      <c r="A10" s="23" t="s">
        <v>1329</v>
      </c>
      <c r="B10">
        <v>310.947</v>
      </c>
      <c r="C10">
        <v>315.83699999999999</v>
      </c>
      <c r="D10">
        <v>310.399</v>
      </c>
      <c r="E10">
        <v>303.22300000000001</v>
      </c>
      <c r="F10">
        <v>238.078</v>
      </c>
      <c r="G10">
        <v>302.71100000000001</v>
      </c>
      <c r="H10">
        <v>836.17499999999995</v>
      </c>
      <c r="I10">
        <v>0</v>
      </c>
      <c r="J10">
        <v>294.95</v>
      </c>
      <c r="K10">
        <v>320.041</v>
      </c>
      <c r="L10">
        <v>299.262</v>
      </c>
      <c r="M10">
        <v>583.78800000000001</v>
      </c>
    </row>
    <row r="11" spans="1:14" x14ac:dyDescent="0.3">
      <c r="A11" s="23" t="s">
        <v>1330</v>
      </c>
      <c r="B11">
        <v>601.01499999999999</v>
      </c>
      <c r="C11">
        <v>386.16699999999997</v>
      </c>
      <c r="D11">
        <v>600.46699999999998</v>
      </c>
      <c r="E11">
        <v>371.05099999999999</v>
      </c>
      <c r="F11">
        <v>528.14599999999996</v>
      </c>
      <c r="G11">
        <v>386.85899999999998</v>
      </c>
      <c r="H11">
        <v>923.101</v>
      </c>
      <c r="I11">
        <v>297.38200000000001</v>
      </c>
      <c r="J11">
        <v>0</v>
      </c>
      <c r="K11">
        <v>613.27800000000002</v>
      </c>
      <c r="L11">
        <v>589.33000000000004</v>
      </c>
      <c r="M11">
        <v>873.85599999999999</v>
      </c>
    </row>
    <row r="12" spans="1:14" x14ac:dyDescent="0.3">
      <c r="A12" s="23" t="s">
        <v>1331</v>
      </c>
      <c r="B12">
        <v>353.67099999999999</v>
      </c>
      <c r="C12">
        <v>360.27699999999999</v>
      </c>
      <c r="D12">
        <v>353.6</v>
      </c>
      <c r="E12">
        <v>370.71100000000001</v>
      </c>
      <c r="F12">
        <v>262.27600000000001</v>
      </c>
      <c r="G12">
        <v>357.02600000000001</v>
      </c>
      <c r="H12">
        <v>625.101</v>
      </c>
      <c r="I12">
        <v>320.24599999999998</v>
      </c>
      <c r="J12">
        <v>614.97299999999996</v>
      </c>
      <c r="K12">
        <v>0</v>
      </c>
      <c r="L12">
        <v>352.42500000000001</v>
      </c>
      <c r="M12">
        <v>297.548</v>
      </c>
    </row>
    <row r="13" spans="1:14" x14ac:dyDescent="0.3">
      <c r="A13" s="23" t="s">
        <v>1332</v>
      </c>
      <c r="B13">
        <v>13.869</v>
      </c>
      <c r="C13">
        <v>609.53700000000003</v>
      </c>
      <c r="D13">
        <v>13.321</v>
      </c>
      <c r="E13">
        <v>596.923</v>
      </c>
      <c r="F13">
        <v>95.88</v>
      </c>
      <c r="G13">
        <v>596.41099999999994</v>
      </c>
      <c r="H13">
        <v>979.399</v>
      </c>
      <c r="I13">
        <v>297.839</v>
      </c>
      <c r="J13">
        <v>589.649</v>
      </c>
      <c r="K13">
        <v>352.39499999999998</v>
      </c>
      <c r="L13">
        <v>0</v>
      </c>
      <c r="M13">
        <v>288.78500000000003</v>
      </c>
    </row>
    <row r="14" spans="1:14" ht="15" thickBot="1" x14ac:dyDescent="0.35">
      <c r="A14" s="25" t="s">
        <v>1402</v>
      </c>
      <c r="B14">
        <v>273.08699999999999</v>
      </c>
      <c r="C14">
        <v>693.74800000000005</v>
      </c>
      <c r="D14">
        <v>273.01600000000002</v>
      </c>
      <c r="E14">
        <v>704.18200000000002</v>
      </c>
      <c r="F14">
        <v>366.75599999999997</v>
      </c>
      <c r="G14">
        <v>690.49699999999996</v>
      </c>
      <c r="H14">
        <v>810.78700000000003</v>
      </c>
      <c r="I14">
        <v>582.99599999999998</v>
      </c>
      <c r="J14">
        <v>874.80600000000004</v>
      </c>
      <c r="K14">
        <v>297.65199999999999</v>
      </c>
      <c r="L14">
        <v>288.68099999999998</v>
      </c>
      <c r="M14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3A3A5-A2E9-4CBD-B8E2-8A0D38AA9AA9}">
  <sheetPr codeName="Feuil36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1429</v>
      </c>
      <c r="B2" s="24" t="s">
        <v>230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0A59C-1D36-490C-B836-4B47B0AE6530}">
  <sheetPr codeName="Feuil37"/>
  <dimension ref="A1:N14"/>
  <sheetViews>
    <sheetView workbookViewId="0">
      <selection activeCell="A3" sqref="A3"/>
    </sheetView>
  </sheetViews>
  <sheetFormatPr baseColWidth="10" defaultRowHeight="14.4" x14ac:dyDescent="0.3"/>
  <sheetData>
    <row r="1" spans="1:14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</row>
    <row r="2" spans="1:14" x14ac:dyDescent="0.3">
      <c r="B2" t="str" cm="1">
        <f t="array" ref="B2:M2">TRANSPOSE(A3:A14)</f>
        <v xml:space="preserve">Plaça de Cort, 12, 07001 Palma de Mallorca, Balearic Islands </v>
      </c>
      <c r="C2" t="str">
        <v>Paseo de la Castellana, 216, 28046 Madrid, Spain</v>
      </c>
      <c r="D2" t="str">
        <v>Carrer de Balmes, 114, 08008 Barcelona, Spain</v>
      </c>
      <c r="E2" t="str">
        <v>Avenida del Camino de lo Cortao, 34, 28703 San Sebastián de los Reyes, Madrid, Spain</v>
      </c>
      <c r="F2" t="str">
        <v>Polígono Industrial Riu Clar, Carrer del Plom, 8, 43006 Tarragona, Espagne.</v>
      </c>
      <c r="G2" t="str">
        <v>Calle de Torrelaguna, 77, 28027 Madrid, Espagne.</v>
      </c>
      <c r="H2" t="str">
        <v>Polígono Guadalhorce, Calle Concepción Arenal, 25, 29004 Málaga, Espagne.</v>
      </c>
      <c r="I2" t="str">
        <v>Polígono Industrial Cogullada, Calle D, 20, 50014 Zaragoza, Espagne.</v>
      </c>
      <c r="J2" t="str">
        <v>Polígono Industrial Etxerre, Calle Araba, 5, 48970 Basauri, Bizkaia, Espagne.</v>
      </c>
      <c r="K2" t="str">
        <v>Polígono Industrial Vara de Quart, Carrer del Forn de l’Hospital, 15, 46014 Valencia, Espagne.</v>
      </c>
      <c r="L2" t="str">
        <v>Ctra. Laureà Miró, 412, 08980 Sant Feliu de Llobregat, Barcelona, Espagne.</v>
      </c>
      <c r="M2" t="str">
        <v>Carrer de Joan de Saridakis, 2, 07015 Palma, Illes Balears, Spain</v>
      </c>
    </row>
    <row r="3" spans="1:14" ht="15" thickBot="1" x14ac:dyDescent="0.35">
      <c r="A3" s="19" t="s">
        <v>1428</v>
      </c>
      <c r="B3">
        <v>0</v>
      </c>
      <c r="C3">
        <v>698.04399999999998</v>
      </c>
      <c r="D3">
        <v>269.33499999999998</v>
      </c>
      <c r="E3">
        <v>708.47799999999995</v>
      </c>
      <c r="F3">
        <v>363.07499999999999</v>
      </c>
      <c r="G3">
        <v>694.79300000000001</v>
      </c>
      <c r="H3">
        <v>815.08299999999997</v>
      </c>
      <c r="I3">
        <v>579.31500000000005</v>
      </c>
      <c r="J3">
        <v>871.125</v>
      </c>
      <c r="K3">
        <v>301.94799999999998</v>
      </c>
      <c r="L3">
        <v>285</v>
      </c>
      <c r="M3">
        <v>7.3339999999999996</v>
      </c>
    </row>
    <row r="4" spans="1:14" x14ac:dyDescent="0.3">
      <c r="A4" s="20" t="s">
        <v>1323</v>
      </c>
      <c r="B4">
        <v>697.73099999999999</v>
      </c>
      <c r="C4">
        <v>0</v>
      </c>
      <c r="D4">
        <v>614.78499999999997</v>
      </c>
      <c r="E4">
        <v>14.727</v>
      </c>
      <c r="F4">
        <v>542.46400000000006</v>
      </c>
      <c r="G4">
        <v>5.8179999999999996</v>
      </c>
      <c r="H4">
        <v>544.32100000000003</v>
      </c>
      <c r="I4">
        <v>309.452</v>
      </c>
      <c r="J4">
        <v>386.154</v>
      </c>
      <c r="K4">
        <v>361.42500000000001</v>
      </c>
      <c r="L4">
        <v>603.64800000000002</v>
      </c>
      <c r="M4">
        <v>695.726</v>
      </c>
    </row>
    <row r="5" spans="1:14" x14ac:dyDescent="0.3">
      <c r="A5" s="23" t="s">
        <v>1324</v>
      </c>
      <c r="B5">
        <v>269.98399999999998</v>
      </c>
      <c r="C5">
        <v>621.25400000000002</v>
      </c>
      <c r="D5">
        <v>0</v>
      </c>
      <c r="E5">
        <v>608.64</v>
      </c>
      <c r="F5">
        <v>97.620999999999995</v>
      </c>
      <c r="G5">
        <v>608.12800000000004</v>
      </c>
      <c r="H5">
        <v>981.14</v>
      </c>
      <c r="I5">
        <v>309.55599999999998</v>
      </c>
      <c r="J5">
        <v>601.36599999999999</v>
      </c>
      <c r="K5">
        <v>354.13600000000002</v>
      </c>
      <c r="L5">
        <v>15.241</v>
      </c>
      <c r="M5">
        <v>272.29300000000001</v>
      </c>
    </row>
    <row r="6" spans="1:14" x14ac:dyDescent="0.3">
      <c r="A6" s="23" t="s">
        <v>1325</v>
      </c>
      <c r="B6">
        <v>707.06899999999996</v>
      </c>
      <c r="C6">
        <v>16.018000000000001</v>
      </c>
      <c r="D6">
        <v>608.86800000000005</v>
      </c>
      <c r="E6">
        <v>0</v>
      </c>
      <c r="F6">
        <v>536.54700000000003</v>
      </c>
      <c r="G6">
        <v>16.71</v>
      </c>
      <c r="H6">
        <v>552.952</v>
      </c>
      <c r="I6">
        <v>303.53500000000003</v>
      </c>
      <c r="J6">
        <v>372.697</v>
      </c>
      <c r="K6">
        <v>370.76299999999998</v>
      </c>
      <c r="L6">
        <v>597.73099999999999</v>
      </c>
      <c r="M6">
        <v>705.06399999999996</v>
      </c>
    </row>
    <row r="7" spans="1:14" x14ac:dyDescent="0.3">
      <c r="A7" s="23" t="s">
        <v>1326</v>
      </c>
      <c r="B7">
        <v>363.28699999999998</v>
      </c>
      <c r="C7">
        <v>549.26800000000003</v>
      </c>
      <c r="D7">
        <v>97.18</v>
      </c>
      <c r="E7">
        <v>536.654</v>
      </c>
      <c r="F7">
        <v>0</v>
      </c>
      <c r="G7">
        <v>536.14200000000005</v>
      </c>
      <c r="H7">
        <v>890.053</v>
      </c>
      <c r="I7">
        <v>237.57</v>
      </c>
      <c r="J7">
        <v>529.38</v>
      </c>
      <c r="K7">
        <v>263.04899999999998</v>
      </c>
      <c r="L7">
        <v>96.004999999999995</v>
      </c>
      <c r="M7">
        <v>365.596</v>
      </c>
    </row>
    <row r="8" spans="1:14" x14ac:dyDescent="0.3">
      <c r="A8" s="23" t="s">
        <v>1327</v>
      </c>
      <c r="B8">
        <v>692.02599999999995</v>
      </c>
      <c r="C8">
        <v>6.9729999999999999</v>
      </c>
      <c r="D8">
        <v>608.55799999999999</v>
      </c>
      <c r="E8">
        <v>17.327999999999999</v>
      </c>
      <c r="F8">
        <v>536.23699999999997</v>
      </c>
      <c r="G8">
        <v>0</v>
      </c>
      <c r="H8">
        <v>538.61599999999999</v>
      </c>
      <c r="I8">
        <v>303.22500000000002</v>
      </c>
      <c r="J8">
        <v>388.755</v>
      </c>
      <c r="K8">
        <v>355.72</v>
      </c>
      <c r="L8">
        <v>597.42100000000005</v>
      </c>
      <c r="M8">
        <v>690.02099999999996</v>
      </c>
    </row>
    <row r="9" spans="1:14" x14ac:dyDescent="0.3">
      <c r="A9" s="23" t="s">
        <v>1328</v>
      </c>
      <c r="B9">
        <v>813.35</v>
      </c>
      <c r="C9">
        <v>541.803</v>
      </c>
      <c r="D9">
        <v>981.06899999999996</v>
      </c>
      <c r="E9">
        <v>553.11800000000005</v>
      </c>
      <c r="F9">
        <v>889.745</v>
      </c>
      <c r="G9">
        <v>538.56100000000004</v>
      </c>
      <c r="H9">
        <v>0</v>
      </c>
      <c r="I9">
        <v>836.05100000000004</v>
      </c>
      <c r="J9">
        <v>924.54499999999996</v>
      </c>
      <c r="K9">
        <v>625.24099999999999</v>
      </c>
      <c r="L9">
        <v>979.89400000000001</v>
      </c>
      <c r="M9">
        <v>811.34500000000003</v>
      </c>
    </row>
    <row r="10" spans="1:14" x14ac:dyDescent="0.3">
      <c r="A10" s="23" t="s">
        <v>1329</v>
      </c>
      <c r="B10">
        <v>581.47900000000004</v>
      </c>
      <c r="C10">
        <v>315.83699999999999</v>
      </c>
      <c r="D10">
        <v>310.399</v>
      </c>
      <c r="E10">
        <v>303.22300000000001</v>
      </c>
      <c r="F10">
        <v>238.078</v>
      </c>
      <c r="G10">
        <v>302.71100000000001</v>
      </c>
      <c r="H10">
        <v>836.17499999999995</v>
      </c>
      <c r="I10">
        <v>0</v>
      </c>
      <c r="J10">
        <v>294.95</v>
      </c>
      <c r="K10">
        <v>320.041</v>
      </c>
      <c r="L10">
        <v>299.262</v>
      </c>
      <c r="M10">
        <v>583.78800000000001</v>
      </c>
    </row>
    <row r="11" spans="1:14" x14ac:dyDescent="0.3">
      <c r="A11" s="23" t="s">
        <v>1330</v>
      </c>
      <c r="B11">
        <v>871.54700000000003</v>
      </c>
      <c r="C11">
        <v>386.16699999999997</v>
      </c>
      <c r="D11">
        <v>600.46699999999998</v>
      </c>
      <c r="E11">
        <v>371.05099999999999</v>
      </c>
      <c r="F11">
        <v>528.14599999999996</v>
      </c>
      <c r="G11">
        <v>386.85899999999998</v>
      </c>
      <c r="H11">
        <v>923.101</v>
      </c>
      <c r="I11">
        <v>297.38200000000001</v>
      </c>
      <c r="J11">
        <v>0</v>
      </c>
      <c r="K11">
        <v>613.27800000000002</v>
      </c>
      <c r="L11">
        <v>589.33000000000004</v>
      </c>
      <c r="M11">
        <v>873.85599999999999</v>
      </c>
    </row>
    <row r="12" spans="1:14" x14ac:dyDescent="0.3">
      <c r="A12" s="23" t="s">
        <v>1331</v>
      </c>
      <c r="B12">
        <v>299.553</v>
      </c>
      <c r="C12">
        <v>360.27699999999999</v>
      </c>
      <c r="D12">
        <v>353.6</v>
      </c>
      <c r="E12">
        <v>370.71100000000001</v>
      </c>
      <c r="F12">
        <v>262.27600000000001</v>
      </c>
      <c r="G12">
        <v>357.02600000000001</v>
      </c>
      <c r="H12">
        <v>625.101</v>
      </c>
      <c r="I12">
        <v>320.24599999999998</v>
      </c>
      <c r="J12">
        <v>614.97299999999996</v>
      </c>
      <c r="K12">
        <v>0</v>
      </c>
      <c r="L12">
        <v>352.42500000000001</v>
      </c>
      <c r="M12">
        <v>297.548</v>
      </c>
    </row>
    <row r="13" spans="1:14" x14ac:dyDescent="0.3">
      <c r="A13" s="23" t="s">
        <v>1332</v>
      </c>
      <c r="B13">
        <v>286.476</v>
      </c>
      <c r="C13">
        <v>609.53700000000003</v>
      </c>
      <c r="D13">
        <v>13.321</v>
      </c>
      <c r="E13">
        <v>596.923</v>
      </c>
      <c r="F13">
        <v>95.88</v>
      </c>
      <c r="G13">
        <v>596.41099999999994</v>
      </c>
      <c r="H13">
        <v>979.399</v>
      </c>
      <c r="I13">
        <v>297.839</v>
      </c>
      <c r="J13">
        <v>589.649</v>
      </c>
      <c r="K13">
        <v>352.39499999999998</v>
      </c>
      <c r="L13">
        <v>0</v>
      </c>
      <c r="M13">
        <v>288.78500000000003</v>
      </c>
    </row>
    <row r="14" spans="1:14" ht="15" thickBot="1" x14ac:dyDescent="0.35">
      <c r="A14" s="25" t="s">
        <v>1402</v>
      </c>
      <c r="B14">
        <v>5.5869999999999997</v>
      </c>
      <c r="C14">
        <v>693.74800000000005</v>
      </c>
      <c r="D14">
        <v>273.01600000000002</v>
      </c>
      <c r="E14">
        <v>704.18200000000002</v>
      </c>
      <c r="F14">
        <v>366.75599999999997</v>
      </c>
      <c r="G14">
        <v>690.49699999999996</v>
      </c>
      <c r="H14">
        <v>810.78700000000003</v>
      </c>
      <c r="I14">
        <v>582.99599999999998</v>
      </c>
      <c r="J14">
        <v>874.80600000000004</v>
      </c>
      <c r="K14">
        <v>297.65199999999999</v>
      </c>
      <c r="L14">
        <v>288.68099999999998</v>
      </c>
      <c r="M1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D17A-839F-4265-8A0E-4176F9B5AF08}">
  <sheetPr codeName="Feuil38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169</v>
      </c>
      <c r="B1" t="s">
        <v>170</v>
      </c>
    </row>
    <row r="2" spans="1:2" x14ac:dyDescent="0.3">
      <c r="A2" s="19" t="s">
        <v>1428</v>
      </c>
      <c r="B2" s="24" t="s">
        <v>229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BE862-C5D2-46F5-8F6A-88E1EBDA7DD3}">
  <sheetPr codeName="Feuil39"/>
  <dimension ref="A1:B12"/>
  <sheetViews>
    <sheetView workbookViewId="0">
      <selection activeCell="A2" sqref="A2:A12"/>
    </sheetView>
  </sheetViews>
  <sheetFormatPr baseColWidth="10" defaultRowHeight="14.4" x14ac:dyDescent="0.3"/>
  <sheetData>
    <row r="1" spans="1:2" ht="15" thickBot="1" x14ac:dyDescent="0.35">
      <c r="A1" s="5" t="s">
        <v>169</v>
      </c>
      <c r="B1" s="5" t="s">
        <v>170</v>
      </c>
    </row>
    <row r="2" spans="1:2" x14ac:dyDescent="0.3">
      <c r="A2" s="20" t="s">
        <v>1323</v>
      </c>
      <c r="B2" s="22" t="s">
        <v>1392</v>
      </c>
    </row>
    <row r="3" spans="1:2" x14ac:dyDescent="0.3">
      <c r="A3" s="23" t="s">
        <v>1324</v>
      </c>
      <c r="B3" s="24" t="s">
        <v>1393</v>
      </c>
    </row>
    <row r="4" spans="1:2" x14ac:dyDescent="0.3">
      <c r="A4" s="23" t="s">
        <v>1325</v>
      </c>
      <c r="B4" s="24" t="s">
        <v>1394</v>
      </c>
    </row>
    <row r="5" spans="1:2" x14ac:dyDescent="0.3">
      <c r="A5" s="23" t="s">
        <v>1326</v>
      </c>
      <c r="B5" s="24" t="s">
        <v>1395</v>
      </c>
    </row>
    <row r="6" spans="1:2" x14ac:dyDescent="0.3">
      <c r="A6" s="23" t="s">
        <v>1327</v>
      </c>
      <c r="B6" s="24" t="s">
        <v>1396</v>
      </c>
    </row>
    <row r="7" spans="1:2" x14ac:dyDescent="0.3">
      <c r="A7" s="23" t="s">
        <v>1328</v>
      </c>
      <c r="B7" s="24" t="s">
        <v>1397</v>
      </c>
    </row>
    <row r="8" spans="1:2" x14ac:dyDescent="0.3">
      <c r="A8" s="23" t="s">
        <v>1329</v>
      </c>
      <c r="B8" s="24" t="s">
        <v>1398</v>
      </c>
    </row>
    <row r="9" spans="1:2" x14ac:dyDescent="0.3">
      <c r="A9" s="23" t="s">
        <v>1330</v>
      </c>
      <c r="B9" s="24" t="s">
        <v>1399</v>
      </c>
    </row>
    <row r="10" spans="1:2" x14ac:dyDescent="0.3">
      <c r="A10" s="23" t="s">
        <v>1331</v>
      </c>
      <c r="B10" s="24" t="s">
        <v>1400</v>
      </c>
    </row>
    <row r="11" spans="1:2" x14ac:dyDescent="0.3">
      <c r="A11" s="23" t="s">
        <v>1332</v>
      </c>
      <c r="B11" s="24" t="s">
        <v>1401</v>
      </c>
    </row>
    <row r="12" spans="1:2" ht="15" thickBot="1" x14ac:dyDescent="0.35">
      <c r="A12" s="25" t="s">
        <v>1402</v>
      </c>
      <c r="B12" s="27" t="s">
        <v>1403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F042F-80EB-4517-A450-43D2845EACB1}">
  <sheetPr codeName="Feuil40"/>
  <dimension ref="A1:I9"/>
  <sheetViews>
    <sheetView workbookViewId="0">
      <selection activeCell="B2" sqref="B2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A2" t="s">
        <v>23</v>
      </c>
      <c r="B2" t="str" cm="1">
        <f t="array" ref="B2:H2">TRANSPOSE(A3:A9)</f>
        <v>Pieter Cornelisz Hooftstraat 129, 1071 BS Amsterdam, Pays-Bas</v>
      </c>
      <c r="C2" t="str">
        <v>Dam 1, 1012 JS Amsterdam, Pays-Bas</v>
      </c>
      <c r="D2" t="str">
        <v>Veluwezoom 35, 1327 AE Almere, Netherlands</v>
      </c>
      <c r="E2" t="str">
        <v>Ir. Smedingstraat 26, 1507 VW Zaandam, Netherlands</v>
      </c>
      <c r="F2" t="str">
        <v>Oude Maasweg 30, 3197 KJ Rotterdam-Botlek, Netherlands</v>
      </c>
      <c r="G2" t="str">
        <v>Accustraat 7, 3903 LX Veenendaal, Netherlands</v>
      </c>
      <c r="H2" t="str">
        <v>Rijnlanderweg 916, 2153 KE Nieuw-Vennep, Pays-Bas</v>
      </c>
    </row>
    <row r="3" spans="1:9" x14ac:dyDescent="0.3">
      <c r="A3" t="s">
        <v>1390</v>
      </c>
      <c r="B3">
        <v>0</v>
      </c>
      <c r="C3">
        <v>5.4850000000000003</v>
      </c>
      <c r="D3">
        <v>34.098999999999997</v>
      </c>
      <c r="E3">
        <v>48.064999999999998</v>
      </c>
      <c r="F3">
        <v>82.814999999999998</v>
      </c>
      <c r="G3">
        <v>79.007000000000005</v>
      </c>
      <c r="H3">
        <v>27.367999999999999</v>
      </c>
    </row>
    <row r="4" spans="1:9" x14ac:dyDescent="0.3">
      <c r="A4" t="s">
        <v>1391</v>
      </c>
      <c r="B4">
        <v>5.5469999999999997</v>
      </c>
      <c r="C4">
        <v>0</v>
      </c>
      <c r="D4">
        <v>32.366</v>
      </c>
      <c r="E4">
        <v>48.960999999999999</v>
      </c>
      <c r="F4">
        <v>88.757000000000005</v>
      </c>
      <c r="G4">
        <v>81.168000000000006</v>
      </c>
      <c r="H4">
        <v>33.31</v>
      </c>
    </row>
    <row r="5" spans="1:9" x14ac:dyDescent="0.3">
      <c r="A5" t="s">
        <v>1358</v>
      </c>
      <c r="B5">
        <v>34.145000000000003</v>
      </c>
      <c r="C5">
        <v>32.454000000000001</v>
      </c>
      <c r="D5">
        <v>0</v>
      </c>
      <c r="E5">
        <v>72.846999999999994</v>
      </c>
      <c r="F5">
        <v>111.58499999999999</v>
      </c>
      <c r="G5">
        <v>68.534000000000006</v>
      </c>
      <c r="H5">
        <v>56.137999999999998</v>
      </c>
    </row>
    <row r="6" spans="1:9" x14ac:dyDescent="0.3">
      <c r="A6" t="s">
        <v>1360</v>
      </c>
      <c r="B6">
        <v>49.265999999999998</v>
      </c>
      <c r="C6">
        <v>49.444000000000003</v>
      </c>
      <c r="D6">
        <v>74.382999999999996</v>
      </c>
      <c r="E6">
        <v>0</v>
      </c>
      <c r="F6">
        <v>126.42400000000001</v>
      </c>
      <c r="G6">
        <v>123.185</v>
      </c>
      <c r="H6">
        <v>70.977000000000004</v>
      </c>
    </row>
    <row r="7" spans="1:9" x14ac:dyDescent="0.3">
      <c r="A7" t="s">
        <v>1362</v>
      </c>
      <c r="B7">
        <v>83.716999999999999</v>
      </c>
      <c r="C7">
        <v>91.882000000000005</v>
      </c>
      <c r="D7">
        <v>111.756</v>
      </c>
      <c r="E7">
        <v>126.239</v>
      </c>
      <c r="F7">
        <v>0</v>
      </c>
      <c r="G7">
        <v>110.58199999999999</v>
      </c>
      <c r="H7">
        <v>65.305999999999997</v>
      </c>
    </row>
    <row r="8" spans="1:9" x14ac:dyDescent="0.3">
      <c r="A8" t="s">
        <v>1364</v>
      </c>
      <c r="B8">
        <v>78.37</v>
      </c>
      <c r="C8">
        <v>80.718999999999994</v>
      </c>
      <c r="D8">
        <v>69.165999999999997</v>
      </c>
      <c r="E8">
        <v>123.236</v>
      </c>
      <c r="F8">
        <v>107.779</v>
      </c>
      <c r="G8">
        <v>0</v>
      </c>
      <c r="H8">
        <v>98.078000000000003</v>
      </c>
    </row>
    <row r="9" spans="1:9" ht="15" thickBot="1" x14ac:dyDescent="0.35">
      <c r="A9" s="26" t="s">
        <v>1365</v>
      </c>
      <c r="B9">
        <v>28.231999999999999</v>
      </c>
      <c r="C9">
        <v>36.396999999999998</v>
      </c>
      <c r="D9">
        <v>56.271000000000001</v>
      </c>
      <c r="E9">
        <v>66.600999999999999</v>
      </c>
      <c r="F9">
        <v>62.877000000000002</v>
      </c>
      <c r="G9">
        <v>90.762</v>
      </c>
      <c r="H9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44357-ECBF-48F5-885F-B9581514FD31}">
  <sheetPr codeName="Feuil41"/>
  <dimension ref="A1:B3"/>
  <sheetViews>
    <sheetView workbookViewId="0">
      <selection sqref="A1:B1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t="s">
        <v>1390</v>
      </c>
      <c r="B2" s="24" t="str" cm="1">
        <f t="array" ref="B2">GetCoordinatesBingSimple(A2)</f>
        <v>52.3594391,4.8780612</v>
      </c>
    </row>
    <row r="3" spans="1:2" x14ac:dyDescent="0.3">
      <c r="A3" t="s">
        <v>1391</v>
      </c>
      <c r="B3" s="24" t="str" cm="1">
        <f t="array" ref="B3">GetCoordinatesBingSimple(A3)</f>
        <v>52.3732926,4.8937176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E93A6-C4CD-4702-AA90-DA9F660D571B}">
  <sheetPr codeName="Feuil42"/>
  <dimension ref="A1:B6"/>
  <sheetViews>
    <sheetView workbookViewId="0">
      <selection activeCell="A2" sqref="A2:A6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t="s">
        <v>1358</v>
      </c>
      <c r="B2" s="24" t="str" cm="1">
        <f t="array" ref="B2">GetCoordinatesBingSimple(A2)</f>
        <v>52.3558128,5.2440039</v>
      </c>
    </row>
    <row r="3" spans="1:2" x14ac:dyDescent="0.3">
      <c r="A3" t="s">
        <v>1360</v>
      </c>
      <c r="B3" s="24" t="str" cm="1">
        <f t="array" ref="B3">GetCoordinatesBingSimple(A3)</f>
        <v>52.665145,5.0744372</v>
      </c>
    </row>
    <row r="4" spans="1:2" x14ac:dyDescent="0.3">
      <c r="A4" t="s">
        <v>1362</v>
      </c>
      <c r="B4" s="24" t="str" cm="1">
        <f t="array" ref="B4">GetCoordinatesBingSimple(A4)</f>
        <v>51.88816272,4.31349677</v>
      </c>
    </row>
    <row r="5" spans="1:2" x14ac:dyDescent="0.3">
      <c r="A5" t="s">
        <v>1364</v>
      </c>
      <c r="B5" s="24" t="str" cm="1">
        <f t="array" ref="B5">GetCoordinatesBingSimple(A5)</f>
        <v>52.0078269,5.573232</v>
      </c>
    </row>
    <row r="6" spans="1:2" ht="15" thickBot="1" x14ac:dyDescent="0.35">
      <c r="A6" s="26" t="s">
        <v>1365</v>
      </c>
      <c r="B6" s="27" t="str" cm="1">
        <f t="array" ref="B6">GetCoordinatesBingSimple(A6)</f>
        <v>52.2485602,4.6510238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6B41-1CE0-44EC-A2F3-47079F468A8B}">
  <sheetPr codeName="Feuil3"/>
  <dimension ref="A1:ANU50"/>
  <sheetViews>
    <sheetView topLeftCell="A10" zoomScale="56" workbookViewId="0">
      <selection activeCell="A50" sqref="A48:A50"/>
    </sheetView>
  </sheetViews>
  <sheetFormatPr baseColWidth="10" defaultRowHeight="14.4" x14ac:dyDescent="0.3"/>
  <cols>
    <col min="1" max="1" width="41.44140625" customWidth="1"/>
    <col min="2" max="2" width="12.33203125" customWidth="1"/>
    <col min="11" max="11" width="13.21875" customWidth="1"/>
  </cols>
  <sheetData>
    <row r="1" spans="1:1061" ht="15" thickBot="1" x14ac:dyDescent="0.35">
      <c r="A1" s="10" t="s">
        <v>171</v>
      </c>
      <c r="B1" s="11" t="s">
        <v>172</v>
      </c>
      <c r="C1" s="11" t="s">
        <v>173</v>
      </c>
      <c r="D1" s="11" t="s">
        <v>174</v>
      </c>
      <c r="E1" s="11" t="s">
        <v>175</v>
      </c>
      <c r="F1" s="11" t="s">
        <v>176</v>
      </c>
      <c r="G1" s="11" t="s">
        <v>177</v>
      </c>
      <c r="H1" s="11" t="s">
        <v>178</v>
      </c>
      <c r="I1" s="12" t="s">
        <v>179</v>
      </c>
      <c r="J1" s="9" t="s">
        <v>180</v>
      </c>
      <c r="K1" s="9" t="s">
        <v>181</v>
      </c>
      <c r="L1" s="12" t="s">
        <v>182</v>
      </c>
      <c r="M1" s="9" t="s">
        <v>183</v>
      </c>
      <c r="N1" s="9" t="s">
        <v>184</v>
      </c>
      <c r="O1" s="12" t="s">
        <v>185</v>
      </c>
      <c r="P1" s="9" t="s">
        <v>186</v>
      </c>
      <c r="Q1" s="9" t="s">
        <v>187</v>
      </c>
      <c r="R1" s="9" t="s">
        <v>188</v>
      </c>
      <c r="S1" s="9" t="s">
        <v>189</v>
      </c>
      <c r="T1" s="9" t="s">
        <v>190</v>
      </c>
      <c r="U1" s="9" t="s">
        <v>191</v>
      </c>
      <c r="V1" s="9" t="s">
        <v>192</v>
      </c>
      <c r="W1" s="9" t="s">
        <v>193</v>
      </c>
      <c r="X1" s="9" t="s">
        <v>284</v>
      </c>
      <c r="Y1" s="9" t="s">
        <v>285</v>
      </c>
      <c r="Z1" s="9" t="s">
        <v>286</v>
      </c>
      <c r="AA1" s="9" t="s">
        <v>287</v>
      </c>
      <c r="AB1" s="9" t="s">
        <v>288</v>
      </c>
      <c r="AC1" s="9" t="s">
        <v>289</v>
      </c>
      <c r="AD1" s="9" t="s">
        <v>290</v>
      </c>
      <c r="AE1" s="9" t="s">
        <v>291</v>
      </c>
      <c r="AF1" s="9" t="s">
        <v>292</v>
      </c>
      <c r="AG1" s="9" t="s">
        <v>293</v>
      </c>
      <c r="AH1" s="9" t="s">
        <v>294</v>
      </c>
      <c r="AI1" s="9" t="s">
        <v>295</v>
      </c>
      <c r="AJ1" s="9" t="s">
        <v>296</v>
      </c>
      <c r="AK1" s="9" t="s">
        <v>297</v>
      </c>
      <c r="AL1" s="9" t="s">
        <v>298</v>
      </c>
      <c r="AM1" s="9" t="s">
        <v>299</v>
      </c>
      <c r="AN1" s="9" t="s">
        <v>300</v>
      </c>
      <c r="AO1" s="9" t="s">
        <v>301</v>
      </c>
      <c r="AP1" s="9" t="s">
        <v>302</v>
      </c>
      <c r="AQ1" s="9" t="s">
        <v>303</v>
      </c>
      <c r="AR1" s="9" t="s">
        <v>304</v>
      </c>
      <c r="AS1" s="9" t="s">
        <v>305</v>
      </c>
      <c r="AT1" s="9" t="s">
        <v>306</v>
      </c>
      <c r="AU1" s="9" t="str" cm="1">
        <f t="array" ref="AU1">LettreColonne(COLUMN(AU2))</f>
        <v>AU</v>
      </c>
      <c r="AV1" s="9" t="str" cm="1">
        <f t="array" ref="AV1">LettreColonne(COLUMN(AV2))</f>
        <v>AV</v>
      </c>
      <c r="AW1" s="9" t="str" cm="1">
        <f t="array" ref="AW1">LettreColonne(COLUMN(AW2))</f>
        <v>AW</v>
      </c>
      <c r="AX1" s="9" t="str" cm="1">
        <f t="array" ref="AX1">LettreColonne(COLUMN(AX2))</f>
        <v>AX</v>
      </c>
      <c r="AY1" s="9" t="str" cm="1">
        <f t="array" ref="AY1">LettreColonne(COLUMN(AY2))</f>
        <v>AY</v>
      </c>
      <c r="AZ1" s="9" t="str" cm="1">
        <f t="array" ref="AZ1">LettreColonne(COLUMN(AZ2))</f>
        <v>AZ</v>
      </c>
      <c r="BA1" s="9" t="str" cm="1">
        <f t="array" ref="BA1">LettreColonne(COLUMN(BA2))</f>
        <v>BA</v>
      </c>
      <c r="BB1" s="9" t="str" cm="1">
        <f t="array" ref="BB1">LettreColonne(COLUMN(BB2))</f>
        <v>BB</v>
      </c>
      <c r="BC1" s="9" t="str" cm="1">
        <f t="array" ref="BC1">LettreColonne(COLUMN(BC2))</f>
        <v>BC</v>
      </c>
      <c r="BD1" s="9" t="str" cm="1">
        <f t="array" ref="BD1">LettreColonne(COLUMN(BD2))</f>
        <v>BD</v>
      </c>
      <c r="BE1" s="9" t="str" cm="1">
        <f t="array" ref="BE1">LettreColonne(COLUMN(BE2))</f>
        <v>BE</v>
      </c>
      <c r="BF1" s="9" t="str" cm="1">
        <f t="array" ref="BF1">LettreColonne(COLUMN(BF2))</f>
        <v>BF</v>
      </c>
      <c r="BG1" s="9" t="str" cm="1">
        <f t="array" ref="BG1">LettreColonne(COLUMN(BG2))</f>
        <v>BG</v>
      </c>
      <c r="BH1" s="9" t="str" cm="1">
        <f t="array" ref="BH1">LettreColonne(COLUMN(BH2))</f>
        <v>BH</v>
      </c>
      <c r="BI1" s="9" t="str" cm="1">
        <f t="array" ref="BI1">LettreColonne(COLUMN(BI2))</f>
        <v>BI</v>
      </c>
      <c r="BJ1" s="9" t="str" cm="1">
        <f t="array" ref="BJ1">LettreColonne(COLUMN(BJ2))</f>
        <v>BJ</v>
      </c>
      <c r="BK1" s="9" t="str" cm="1">
        <f t="array" ref="BK1">LettreColonne(COLUMN(BK2))</f>
        <v>BK</v>
      </c>
      <c r="BL1" s="9" t="str" cm="1">
        <f t="array" ref="BL1">LettreColonne(COLUMN(BL2))</f>
        <v>BL</v>
      </c>
      <c r="BM1" s="9" t="str" cm="1">
        <f t="array" ref="BM1">LettreColonne(COLUMN(BM2))</f>
        <v>BM</v>
      </c>
      <c r="BN1" s="9" t="str" cm="1">
        <f t="array" ref="BN1">LettreColonne(COLUMN(BN2))</f>
        <v>BN</v>
      </c>
      <c r="BO1" s="9" t="str" cm="1">
        <f t="array" ref="BO1">LettreColonne(COLUMN(BO2))</f>
        <v>BO</v>
      </c>
      <c r="BP1" s="9" t="str" cm="1">
        <f t="array" ref="BP1">LettreColonne(COLUMN(BP2))</f>
        <v>BP</v>
      </c>
      <c r="BQ1" s="9" t="str" cm="1">
        <f t="array" ref="BQ1">LettreColonne(COLUMN(BQ2))</f>
        <v>BQ</v>
      </c>
      <c r="BR1" s="9" t="str" cm="1">
        <f t="array" ref="BR1">LettreColonne(COLUMN(BR2))</f>
        <v>BR</v>
      </c>
      <c r="BS1" s="9" t="str" cm="1">
        <f t="array" ref="BS1">LettreColonne(COLUMN(BS2))</f>
        <v>BS</v>
      </c>
      <c r="BT1" s="9" t="str" cm="1">
        <f t="array" ref="BT1">LettreColonne(COLUMN(BT2))</f>
        <v>BT</v>
      </c>
      <c r="BU1" s="9" t="str" cm="1">
        <f t="array" ref="BU1">LettreColonne(COLUMN(BU2))</f>
        <v>BU</v>
      </c>
      <c r="BV1" s="9" t="str" cm="1">
        <f t="array" ref="BV1">LettreColonne(COLUMN(BV2))</f>
        <v>BV</v>
      </c>
      <c r="BW1" s="9" t="str" cm="1">
        <f t="array" ref="BW1">LettreColonne(COLUMN(BW2))</f>
        <v>BW</v>
      </c>
      <c r="BX1" s="9" t="str" cm="1">
        <f t="array" ref="BX1">LettreColonne(COLUMN(BX2))</f>
        <v>BX</v>
      </c>
      <c r="BY1" s="9" t="str" cm="1">
        <f t="array" ref="BY1">LettreColonne(COLUMN(BY2))</f>
        <v>BY</v>
      </c>
      <c r="BZ1" s="9" t="str" cm="1">
        <f t="array" ref="BZ1">LettreColonne(COLUMN(BZ2))</f>
        <v>BZ</v>
      </c>
      <c r="CA1" s="9" t="str" cm="1">
        <f t="array" ref="CA1">LettreColonne(COLUMN(CA2))</f>
        <v>CA</v>
      </c>
      <c r="CB1" s="9" t="str" cm="1">
        <f t="array" ref="CB1">LettreColonne(COLUMN(CB2))</f>
        <v>CB</v>
      </c>
      <c r="CC1" s="9" t="str" cm="1">
        <f t="array" ref="CC1">LettreColonne(COLUMN(CC2))</f>
        <v>CC</v>
      </c>
      <c r="CD1" s="9" t="str" cm="1">
        <f t="array" ref="CD1">LettreColonne(COLUMN(CD2))</f>
        <v>CD</v>
      </c>
      <c r="CE1" s="9" t="str" cm="1">
        <f t="array" ref="CE1">LettreColonne(COLUMN(CE2))</f>
        <v>CE</v>
      </c>
      <c r="CF1" s="9" t="str" cm="1">
        <f t="array" ref="CF1">LettreColonne(COLUMN(CF2))</f>
        <v>CF</v>
      </c>
      <c r="CG1" s="9" t="str" cm="1">
        <f t="array" ref="CG1">LettreColonne(COLUMN(CG2))</f>
        <v>CG</v>
      </c>
      <c r="CH1" s="9" t="str" cm="1">
        <f t="array" ref="CH1">LettreColonne(COLUMN(CH2))</f>
        <v>CH</v>
      </c>
      <c r="CI1" s="9" t="str" cm="1">
        <f t="array" ref="CI1">LettreColonne(COLUMN(CI2))</f>
        <v>CI</v>
      </c>
      <c r="CJ1" s="9" t="str" cm="1">
        <f t="array" ref="CJ1">LettreColonne(COLUMN(CJ2))</f>
        <v>CJ</v>
      </c>
      <c r="CK1" s="9" t="str" cm="1">
        <f t="array" ref="CK1">LettreColonne(COLUMN(CK2))</f>
        <v>CK</v>
      </c>
      <c r="CL1" s="9" t="str" cm="1">
        <f t="array" ref="CL1">LettreColonne(COLUMN(CL2))</f>
        <v>CL</v>
      </c>
      <c r="CM1" s="9" t="str" cm="1">
        <f t="array" ref="CM1">LettreColonne(COLUMN(CM2))</f>
        <v>CM</v>
      </c>
      <c r="CN1" s="9" t="str" cm="1">
        <f t="array" ref="CN1">LettreColonne(COLUMN(CN2))</f>
        <v>CN</v>
      </c>
      <c r="CO1" s="9" t="str" cm="1">
        <f t="array" ref="CO1">LettreColonne(COLUMN(CO2))</f>
        <v>CO</v>
      </c>
      <c r="CP1" s="9" t="str" cm="1">
        <f t="array" ref="CP1">LettreColonne(COLUMN(CP2))</f>
        <v>CP</v>
      </c>
      <c r="CQ1" s="9" t="str" cm="1">
        <f t="array" ref="CQ1">LettreColonne(COLUMN(CQ2))</f>
        <v>CQ</v>
      </c>
      <c r="CR1" s="9" t="str" cm="1">
        <f t="array" ref="CR1">LettreColonne(COLUMN(CR2))</f>
        <v>CR</v>
      </c>
      <c r="CS1" s="9" t="str" cm="1">
        <f t="array" ref="CS1">LettreColonne(COLUMN(CS2))</f>
        <v>CS</v>
      </c>
      <c r="CT1" s="9" t="str" cm="1">
        <f t="array" ref="CT1">LettreColonne(COLUMN(CT2))</f>
        <v>CT</v>
      </c>
      <c r="CU1" s="9" t="str" cm="1">
        <f t="array" ref="CU1">LettreColonne(COLUMN(CU2))</f>
        <v>CU</v>
      </c>
      <c r="CV1" s="9" t="str" cm="1">
        <f t="array" ref="CV1">LettreColonne(COLUMN(CV2))</f>
        <v>CV</v>
      </c>
      <c r="CW1" s="9" t="str" cm="1">
        <f t="array" ref="CW1">LettreColonne(COLUMN(CW2))</f>
        <v>CW</v>
      </c>
      <c r="CX1" s="9" t="str" cm="1">
        <f t="array" ref="CX1">LettreColonne(COLUMN(CX2))</f>
        <v>CX</v>
      </c>
      <c r="CY1" s="9" t="str" cm="1">
        <f t="array" ref="CY1">LettreColonne(COLUMN(CY2))</f>
        <v>CY</v>
      </c>
      <c r="CZ1" s="9" t="str" cm="1">
        <f t="array" ref="CZ1">LettreColonne(COLUMN(CZ2))</f>
        <v>CZ</v>
      </c>
      <c r="DA1" s="9" t="str" cm="1">
        <f t="array" ref="DA1">LettreColonne(COLUMN(DA2))</f>
        <v>DA</v>
      </c>
      <c r="DB1" s="9" t="str" cm="1">
        <f t="array" ref="DB1">LettreColonne(COLUMN(DB2))</f>
        <v>DB</v>
      </c>
      <c r="DC1" s="9" t="str" cm="1">
        <f t="array" ref="DC1">LettreColonne(COLUMN(DC2))</f>
        <v>DC</v>
      </c>
      <c r="DD1" s="9" t="str" cm="1">
        <f t="array" ref="DD1">LettreColonne(COLUMN(DD2))</f>
        <v>DD</v>
      </c>
      <c r="DE1" s="9" t="str" cm="1">
        <f t="array" ref="DE1">LettreColonne(COLUMN(DE2))</f>
        <v>DE</v>
      </c>
      <c r="DF1" s="9" t="str" cm="1">
        <f t="array" ref="DF1">LettreColonne(COLUMN(DF2))</f>
        <v>DF</v>
      </c>
      <c r="DG1" s="9" t="str" cm="1">
        <f t="array" ref="DG1">LettreColonne(COLUMN(DG2))</f>
        <v>DG</v>
      </c>
      <c r="DH1" s="9" t="str" cm="1">
        <f t="array" ref="DH1">LettreColonne(COLUMN(DH2))</f>
        <v>DH</v>
      </c>
      <c r="DI1" s="9" t="str" cm="1">
        <f t="array" ref="DI1">LettreColonne(COLUMN(DI2))</f>
        <v>DI</v>
      </c>
      <c r="DJ1" s="9" t="str" cm="1">
        <f t="array" ref="DJ1">LettreColonne(COLUMN(DJ2))</f>
        <v>DJ</v>
      </c>
      <c r="DK1" s="9" t="str" cm="1">
        <f t="array" ref="DK1">LettreColonne(COLUMN(DK2))</f>
        <v>DK</v>
      </c>
      <c r="DL1" s="9" t="str" cm="1">
        <f t="array" ref="DL1">LettreColonne(COLUMN(DL2))</f>
        <v>DL</v>
      </c>
      <c r="DM1" s="9" t="str" cm="1">
        <f t="array" ref="DM1">LettreColonne(COLUMN(DM2))</f>
        <v>DM</v>
      </c>
      <c r="DN1" s="9" t="str" cm="1">
        <f t="array" ref="DN1">LettreColonne(COLUMN(DN2))</f>
        <v>DN</v>
      </c>
      <c r="DO1" s="9" t="str" cm="1">
        <f t="array" ref="DO1">LettreColonne(COLUMN(DO2))</f>
        <v>DO</v>
      </c>
      <c r="DP1" s="9" t="str" cm="1">
        <f t="array" ref="DP1">LettreColonne(COLUMN(DP2))</f>
        <v>DP</v>
      </c>
      <c r="DQ1" s="9" t="str" cm="1">
        <f t="array" ref="DQ1">LettreColonne(COLUMN(DQ2))</f>
        <v>DQ</v>
      </c>
      <c r="DR1" s="9" t="str" cm="1">
        <f t="array" ref="DR1">LettreColonne(COLUMN(DR2))</f>
        <v>DR</v>
      </c>
      <c r="DS1" s="9" t="str" cm="1">
        <f t="array" ref="DS1">LettreColonne(COLUMN(DS2))</f>
        <v>DS</v>
      </c>
      <c r="DT1" s="9" t="str" cm="1">
        <f t="array" ref="DT1">LettreColonne(COLUMN(DT2))</f>
        <v>DT</v>
      </c>
      <c r="DU1" s="9" t="str" cm="1">
        <f t="array" ref="DU1">LettreColonne(COLUMN(DU2))</f>
        <v>DU</v>
      </c>
      <c r="DV1" s="9" t="str" cm="1">
        <f t="array" ref="DV1">LettreColonne(COLUMN(DV2))</f>
        <v>DV</v>
      </c>
      <c r="DW1" s="9" t="str" cm="1">
        <f t="array" ref="DW1">LettreColonne(COLUMN(DW2))</f>
        <v>DW</v>
      </c>
      <c r="DX1" s="9" t="str" cm="1">
        <f t="array" ref="DX1">LettreColonne(COLUMN(DX2))</f>
        <v>DX</v>
      </c>
      <c r="DY1" s="9" t="str" cm="1">
        <f t="array" ref="DY1">LettreColonne(COLUMN(DY2))</f>
        <v>DY</v>
      </c>
      <c r="DZ1" s="9" t="str" cm="1">
        <f t="array" ref="DZ1">LettreColonne(COLUMN(DZ2))</f>
        <v>DZ</v>
      </c>
      <c r="EA1" s="9" t="str" cm="1">
        <f t="array" ref="EA1">LettreColonne(COLUMN(EA2))</f>
        <v>EA</v>
      </c>
      <c r="EB1" s="9" t="str" cm="1">
        <f t="array" ref="EB1">LettreColonne(COLUMN(EB2))</f>
        <v>EB</v>
      </c>
      <c r="EC1" s="9" t="str" cm="1">
        <f t="array" ref="EC1">LettreColonne(COLUMN(EC2))</f>
        <v>EC</v>
      </c>
      <c r="ED1" s="9" t="str" cm="1">
        <f t="array" ref="ED1">LettreColonne(COLUMN(ED2))</f>
        <v>ED</v>
      </c>
      <c r="EE1" s="9" t="str" cm="1">
        <f t="array" ref="EE1">LettreColonne(COLUMN(EE2))</f>
        <v>EE</v>
      </c>
      <c r="EF1" s="9" t="str" cm="1">
        <f t="array" ref="EF1">LettreColonne(COLUMN(EF2))</f>
        <v>EF</v>
      </c>
      <c r="EG1" s="9" t="str" cm="1">
        <f t="array" ref="EG1">LettreColonne(COLUMN(EG2))</f>
        <v>EG</v>
      </c>
      <c r="EH1" s="9" t="str" cm="1">
        <f t="array" ref="EH1">LettreColonne(COLUMN(EH2))</f>
        <v>EH</v>
      </c>
      <c r="EI1" s="9" t="str" cm="1">
        <f t="array" ref="EI1">LettreColonne(COLUMN(EI2))</f>
        <v>EI</v>
      </c>
      <c r="EJ1" s="9" t="str" cm="1">
        <f t="array" ref="EJ1">LettreColonne(COLUMN(EJ2))</f>
        <v>EJ</v>
      </c>
      <c r="EK1" s="9" t="str" cm="1">
        <f t="array" ref="EK1">LettreColonne(COLUMN(EK2))</f>
        <v>EK</v>
      </c>
      <c r="EL1" s="9" t="str" cm="1">
        <f t="array" ref="EL1">LettreColonne(COLUMN(EL2))</f>
        <v>EL</v>
      </c>
      <c r="EM1" s="9" t="str" cm="1">
        <f t="array" ref="EM1">LettreColonne(COLUMN(EM2))</f>
        <v>EM</v>
      </c>
      <c r="EN1" s="9" t="str" cm="1">
        <f t="array" ref="EN1">LettreColonne(COLUMN(EN2))</f>
        <v>EN</v>
      </c>
      <c r="EO1" s="9" t="str" cm="1">
        <f t="array" ref="EO1">LettreColonne(COLUMN(EO2))</f>
        <v>EO</v>
      </c>
      <c r="EP1" s="9" t="str" cm="1">
        <f t="array" ref="EP1">LettreColonne(COLUMN(EP2))</f>
        <v>EP</v>
      </c>
      <c r="EQ1" s="9" t="str" cm="1">
        <f t="array" ref="EQ1">LettreColonne(COLUMN(EQ2))</f>
        <v>EQ</v>
      </c>
      <c r="ER1" s="9" t="str" cm="1">
        <f t="array" ref="ER1">LettreColonne(COLUMN(ER2))</f>
        <v>ER</v>
      </c>
      <c r="ES1" s="9" t="str" cm="1">
        <f t="array" ref="ES1">LettreColonne(COLUMN(ES2))</f>
        <v>ES</v>
      </c>
      <c r="ET1" s="9" t="str" cm="1">
        <f t="array" ref="ET1">LettreColonne(COLUMN(ET2))</f>
        <v>ET</v>
      </c>
      <c r="EU1" s="9" t="str" cm="1">
        <f t="array" ref="EU1">LettreColonne(COLUMN(EU2))</f>
        <v>EU</v>
      </c>
      <c r="EV1" s="9" t="str" cm="1">
        <f t="array" ref="EV1">LettreColonne(COLUMN(EV2))</f>
        <v>EV</v>
      </c>
      <c r="EW1" s="9" t="str" cm="1">
        <f t="array" ref="EW1">LettreColonne(COLUMN(EW2))</f>
        <v>EW</v>
      </c>
      <c r="EX1" s="9" t="str" cm="1">
        <f t="array" ref="EX1">LettreColonne(COLUMN(EX2))</f>
        <v>EX</v>
      </c>
      <c r="EY1" s="9" t="str" cm="1">
        <f t="array" ref="EY1">LettreColonne(COLUMN(EY2))</f>
        <v>EY</v>
      </c>
      <c r="EZ1" s="9" t="str" cm="1">
        <f t="array" ref="EZ1">LettreColonne(COLUMN(EZ2))</f>
        <v>EZ</v>
      </c>
      <c r="FA1" s="9" t="str" cm="1">
        <f t="array" ref="FA1">LettreColonne(COLUMN(FA2))</f>
        <v>FA</v>
      </c>
      <c r="FB1" s="9" t="str" cm="1">
        <f t="array" ref="FB1">LettreColonne(COLUMN(FB2))</f>
        <v>FB</v>
      </c>
      <c r="FC1" s="9" t="str" cm="1">
        <f t="array" ref="FC1">LettreColonne(COLUMN(FC2))</f>
        <v>FC</v>
      </c>
      <c r="FD1" s="9" t="str" cm="1">
        <f t="array" ref="FD1">LettreColonne(COLUMN(FD2))</f>
        <v>FD</v>
      </c>
      <c r="FE1" s="9" t="str" cm="1">
        <f t="array" ref="FE1">LettreColonne(COLUMN(FE2))</f>
        <v>FE</v>
      </c>
      <c r="FF1" s="9" t="str" cm="1">
        <f t="array" ref="FF1">LettreColonne(COLUMN(FF2))</f>
        <v>FF</v>
      </c>
      <c r="FG1" s="9" t="str" cm="1">
        <f t="array" ref="FG1">LettreColonne(COLUMN(FG2))</f>
        <v>FG</v>
      </c>
      <c r="FH1" s="9" t="str" cm="1">
        <f t="array" ref="FH1">LettreColonne(COLUMN(FH2))</f>
        <v>FH</v>
      </c>
      <c r="FI1" s="9" t="str" cm="1">
        <f t="array" ref="FI1">LettreColonne(COLUMN(FI2))</f>
        <v>FI</v>
      </c>
      <c r="FJ1" s="9" t="str" cm="1">
        <f t="array" ref="FJ1">LettreColonne(COLUMN(FJ2))</f>
        <v>FJ</v>
      </c>
      <c r="FK1" s="9" t="str" cm="1">
        <f t="array" ref="FK1">LettreColonne(COLUMN(FK2))</f>
        <v>FK</v>
      </c>
      <c r="FL1" s="9" t="str" cm="1">
        <f t="array" ref="FL1">LettreColonne(COLUMN(FL2))</f>
        <v>FL</v>
      </c>
      <c r="FM1" s="9" t="str" cm="1">
        <f t="array" ref="FM1">LettreColonne(COLUMN(FM2))</f>
        <v>FM</v>
      </c>
      <c r="FN1" s="9" t="str" cm="1">
        <f t="array" ref="FN1">LettreColonne(COLUMN(FN2))</f>
        <v>FN</v>
      </c>
      <c r="FO1" s="9" t="str" cm="1">
        <f t="array" ref="FO1">LettreColonne(COLUMN(FO2))</f>
        <v>FO</v>
      </c>
      <c r="FP1" s="9" t="str" cm="1">
        <f t="array" ref="FP1">LettreColonne(COLUMN(FP2))</f>
        <v>FP</v>
      </c>
      <c r="FQ1" s="9" t="str" cm="1">
        <f t="array" ref="FQ1">LettreColonne(COLUMN(FQ2))</f>
        <v>FQ</v>
      </c>
      <c r="FR1" s="9" t="str" cm="1">
        <f t="array" ref="FR1">LettreColonne(COLUMN(FR2))</f>
        <v>FR</v>
      </c>
      <c r="FS1" s="9" t="str" cm="1">
        <f t="array" ref="FS1">LettreColonne(COLUMN(FS2))</f>
        <v>FS</v>
      </c>
      <c r="FT1" s="9" t="str" cm="1">
        <f t="array" ref="FT1">LettreColonne(COLUMN(FT2))</f>
        <v>FT</v>
      </c>
      <c r="FU1" s="9" t="str" cm="1">
        <f t="array" ref="FU1">LettreColonne(COLUMN(FU2))</f>
        <v>FU</v>
      </c>
      <c r="FV1" s="9" t="str" cm="1">
        <f t="array" ref="FV1">LettreColonne(COLUMN(FV2))</f>
        <v>FV</v>
      </c>
      <c r="FW1" s="9" t="str" cm="1">
        <f t="array" ref="FW1">LettreColonne(COLUMN(FW2))</f>
        <v>FW</v>
      </c>
      <c r="FX1" s="9" t="str" cm="1">
        <f t="array" ref="FX1">LettreColonne(COLUMN(FX2))</f>
        <v>FX</v>
      </c>
      <c r="FY1" s="9" t="str" cm="1">
        <f t="array" ref="FY1">LettreColonne(COLUMN(FY2))</f>
        <v>FY</v>
      </c>
      <c r="FZ1" s="9" t="str" cm="1">
        <f t="array" ref="FZ1">LettreColonne(COLUMN(FZ2))</f>
        <v>FZ</v>
      </c>
      <c r="GA1" s="9" t="str" cm="1">
        <f t="array" ref="GA1">LettreColonne(COLUMN(GA2))</f>
        <v>GA</v>
      </c>
      <c r="GB1" s="9" t="str" cm="1">
        <f t="array" ref="GB1">LettreColonne(COLUMN(GB2))</f>
        <v>GB</v>
      </c>
      <c r="GC1" s="9" t="str" cm="1">
        <f t="array" ref="GC1">LettreColonne(COLUMN(GC2))</f>
        <v>GC</v>
      </c>
      <c r="GD1" s="9" t="str" cm="1">
        <f t="array" ref="GD1">LettreColonne(COLUMN(GD2))</f>
        <v>GD</v>
      </c>
      <c r="GE1" s="9" t="str" cm="1">
        <f t="array" ref="GE1">LettreColonne(COLUMN(GE2))</f>
        <v>GE</v>
      </c>
      <c r="GF1" s="9" t="str" cm="1">
        <f t="array" ref="GF1">LettreColonne(COLUMN(GF2))</f>
        <v>GF</v>
      </c>
      <c r="GG1" s="9" t="str" cm="1">
        <f t="array" ref="GG1">LettreColonne(COLUMN(GG2))</f>
        <v>GG</v>
      </c>
      <c r="GH1" s="9" t="str" cm="1">
        <f t="array" ref="GH1">LettreColonne(COLUMN(GH2))</f>
        <v>GH</v>
      </c>
      <c r="GI1" s="9" t="str" cm="1">
        <f t="array" ref="GI1">LettreColonne(COLUMN(GI2))</f>
        <v>GI</v>
      </c>
      <c r="GJ1" s="9" t="str" cm="1">
        <f t="array" ref="GJ1">LettreColonne(COLUMN(GJ2))</f>
        <v>GJ</v>
      </c>
      <c r="GK1" s="9" t="str" cm="1">
        <f t="array" ref="GK1">LettreColonne(COLUMN(GK2))</f>
        <v>GK</v>
      </c>
      <c r="GL1" s="9" t="str" cm="1">
        <f t="array" ref="GL1">LettreColonne(COLUMN(GL2))</f>
        <v>GL</v>
      </c>
      <c r="GM1" s="9" t="str" cm="1">
        <f t="array" ref="GM1">LettreColonne(COLUMN(GM2))</f>
        <v>GM</v>
      </c>
      <c r="GN1" s="9" t="str" cm="1">
        <f t="array" ref="GN1">LettreColonne(COLUMN(GN2))</f>
        <v>GN</v>
      </c>
      <c r="GO1" s="9" t="str" cm="1">
        <f t="array" ref="GO1">LettreColonne(COLUMN(GO2))</f>
        <v>GO</v>
      </c>
      <c r="GP1" s="9" t="str" cm="1">
        <f t="array" ref="GP1">LettreColonne(COLUMN(GP2))</f>
        <v>GP</v>
      </c>
      <c r="GQ1" s="9" t="str" cm="1">
        <f t="array" ref="GQ1">LettreColonne(COLUMN(GQ2))</f>
        <v>GQ</v>
      </c>
      <c r="GR1" s="9" t="str" cm="1">
        <f t="array" ref="GR1">LettreColonne(COLUMN(GR2))</f>
        <v>GR</v>
      </c>
      <c r="GS1" s="9" t="str" cm="1">
        <f t="array" ref="GS1">LettreColonne(COLUMN(GS2))</f>
        <v>GS</v>
      </c>
      <c r="GT1" s="9" t="str" cm="1">
        <f t="array" ref="GT1">LettreColonne(COLUMN(GT2))</f>
        <v>GT</v>
      </c>
      <c r="GU1" s="9" t="str" cm="1">
        <f t="array" ref="GU1">LettreColonne(COLUMN(GU2))</f>
        <v>GU</v>
      </c>
      <c r="GV1" s="9" t="str" cm="1">
        <f t="array" ref="GV1">LettreColonne(COLUMN(GV2))</f>
        <v>GV</v>
      </c>
      <c r="GW1" s="9" t="str" cm="1">
        <f t="array" ref="GW1">LettreColonne(COLUMN(GW2))</f>
        <v>GW</v>
      </c>
      <c r="GX1" s="9" t="str" cm="1">
        <f t="array" ref="GX1">LettreColonne(COLUMN(GX2))</f>
        <v>GX</v>
      </c>
      <c r="GY1" s="9" t="str" cm="1">
        <f t="array" ref="GY1">LettreColonne(COLUMN(GY2))</f>
        <v>GY</v>
      </c>
      <c r="GZ1" s="9" t="str" cm="1">
        <f t="array" ref="GZ1">LettreColonne(COLUMN(GZ2))</f>
        <v>GZ</v>
      </c>
      <c r="HA1" s="9" t="str" cm="1">
        <f t="array" ref="HA1">LettreColonne(COLUMN(HA2))</f>
        <v>HA</v>
      </c>
      <c r="HB1" s="9" t="str" cm="1">
        <f t="array" ref="HB1">LettreColonne(COLUMN(HB2))</f>
        <v>HB</v>
      </c>
      <c r="HC1" s="9" t="str" cm="1">
        <f t="array" ref="HC1">LettreColonne(COLUMN(HC2))</f>
        <v>HC</v>
      </c>
      <c r="HD1" s="9" t="str" cm="1">
        <f t="array" ref="HD1">LettreColonne(COLUMN(HD2))</f>
        <v>HD</v>
      </c>
      <c r="HE1" s="9" t="str" cm="1">
        <f t="array" ref="HE1">LettreColonne(COLUMN(HE2))</f>
        <v>HE</v>
      </c>
      <c r="HF1" s="9" t="str" cm="1">
        <f t="array" ref="HF1">LettreColonne(COLUMN(HF2))</f>
        <v>HF</v>
      </c>
      <c r="HG1" s="9" t="str" cm="1">
        <f t="array" ref="HG1">LettreColonne(COLUMN(HG2))</f>
        <v>HG</v>
      </c>
      <c r="HH1" s="9" t="str" cm="1">
        <f t="array" ref="HH1">LettreColonne(COLUMN(HH2))</f>
        <v>HH</v>
      </c>
      <c r="HI1" s="9" t="str" cm="1">
        <f t="array" ref="HI1">LettreColonne(COLUMN(HI2))</f>
        <v>HI</v>
      </c>
      <c r="HJ1" s="9" t="str" cm="1">
        <f t="array" ref="HJ1">LettreColonne(COLUMN(HJ2))</f>
        <v>HJ</v>
      </c>
      <c r="HK1" s="9" t="str" cm="1">
        <f t="array" ref="HK1">LettreColonne(COLUMN(HK2))</f>
        <v>HK</v>
      </c>
      <c r="HL1" s="9" t="str" cm="1">
        <f t="array" ref="HL1">LettreColonne(COLUMN(HL2))</f>
        <v>HL</v>
      </c>
      <c r="HM1" s="9" t="str" cm="1">
        <f t="array" ref="HM1">LettreColonne(COLUMN(HM2))</f>
        <v>HM</v>
      </c>
      <c r="HN1" s="9" t="str" cm="1">
        <f t="array" ref="HN1">LettreColonne(COLUMN(HN2))</f>
        <v>HN</v>
      </c>
      <c r="HO1" s="9" t="str" cm="1">
        <f t="array" ref="HO1">LettreColonne(COLUMN(HO2))</f>
        <v>HO</v>
      </c>
      <c r="HP1" s="9" t="str" cm="1">
        <f t="array" ref="HP1">LettreColonne(COLUMN(HP2))</f>
        <v>HP</v>
      </c>
      <c r="HQ1" s="9" t="str" cm="1">
        <f t="array" ref="HQ1">LettreColonne(COLUMN(HQ2))</f>
        <v>HQ</v>
      </c>
      <c r="HR1" s="9" t="str" cm="1">
        <f t="array" ref="HR1">LettreColonne(COLUMN(HR2))</f>
        <v>HR</v>
      </c>
      <c r="HS1" s="9" t="str" cm="1">
        <f t="array" ref="HS1">LettreColonne(COLUMN(HS2))</f>
        <v>HS</v>
      </c>
      <c r="HT1" s="9" t="str" cm="1">
        <f t="array" ref="HT1">LettreColonne(COLUMN(HT2))</f>
        <v>HT</v>
      </c>
      <c r="HU1" s="9" t="str" cm="1">
        <f t="array" ref="HU1">LettreColonne(COLUMN(HU2))</f>
        <v>HU</v>
      </c>
      <c r="HV1" s="9" t="str" cm="1">
        <f t="array" ref="HV1">LettreColonne(COLUMN(HV2))</f>
        <v>HV</v>
      </c>
      <c r="HW1" s="9" t="str" cm="1">
        <f t="array" ref="HW1">LettreColonne(COLUMN(HW2))</f>
        <v>HW</v>
      </c>
      <c r="HX1" s="9" t="str" cm="1">
        <f t="array" ref="HX1">LettreColonne(COLUMN(HX2))</f>
        <v>HX</v>
      </c>
      <c r="HY1" s="9" t="str" cm="1">
        <f t="array" ref="HY1">LettreColonne(COLUMN(HY2))</f>
        <v>HY</v>
      </c>
      <c r="HZ1" s="9" t="str" cm="1">
        <f t="array" ref="HZ1">LettreColonne(COLUMN(HZ2))</f>
        <v>HZ</v>
      </c>
      <c r="IA1" s="9" t="str" cm="1">
        <f t="array" ref="IA1">LettreColonne(COLUMN(IA2))</f>
        <v>IA</v>
      </c>
      <c r="IB1" s="9" t="str" cm="1">
        <f t="array" ref="IB1">LettreColonne(COLUMN(IB2))</f>
        <v>IB</v>
      </c>
      <c r="IC1" s="9" t="str" cm="1">
        <f t="array" ref="IC1">LettreColonne(COLUMN(IC2))</f>
        <v>IC</v>
      </c>
      <c r="ID1" s="9" t="str" cm="1">
        <f t="array" ref="ID1">LettreColonne(COLUMN(ID2))</f>
        <v>ID</v>
      </c>
      <c r="IE1" s="9" t="str" cm="1">
        <f t="array" ref="IE1">LettreColonne(COLUMN(IE2))</f>
        <v>IE</v>
      </c>
      <c r="IF1" s="9" t="str" cm="1">
        <f t="array" ref="IF1">LettreColonne(COLUMN(IF2))</f>
        <v>IF</v>
      </c>
      <c r="IG1" s="9" t="str" cm="1">
        <f t="array" ref="IG1">LettreColonne(COLUMN(IG2))</f>
        <v>IG</v>
      </c>
      <c r="IH1" s="9" t="str" cm="1">
        <f t="array" ref="IH1">LettreColonne(COLUMN(IH2))</f>
        <v>IH</v>
      </c>
      <c r="II1" s="9" t="str" cm="1">
        <f t="array" ref="II1">LettreColonne(COLUMN(II2))</f>
        <v>II</v>
      </c>
      <c r="IJ1" s="9" t="str" cm="1">
        <f t="array" ref="IJ1">LettreColonne(COLUMN(IJ2))</f>
        <v>IJ</v>
      </c>
      <c r="IK1" s="9" t="str" cm="1">
        <f t="array" ref="IK1">LettreColonne(COLUMN(IK2))</f>
        <v>IK</v>
      </c>
      <c r="IL1" s="9" t="str" cm="1">
        <f t="array" ref="IL1">LettreColonne(COLUMN(IL2))</f>
        <v>IL</v>
      </c>
      <c r="IM1" s="9" t="str" cm="1">
        <f t="array" ref="IM1">LettreColonne(COLUMN(IM2))</f>
        <v>IM</v>
      </c>
      <c r="IN1" s="9" t="str" cm="1">
        <f t="array" ref="IN1">LettreColonne(COLUMN(IN2))</f>
        <v>IN</v>
      </c>
      <c r="IO1" s="9" t="str" cm="1">
        <f t="array" ref="IO1">LettreColonne(COLUMN(IO2))</f>
        <v>IO</v>
      </c>
      <c r="IP1" s="9" t="str" cm="1">
        <f t="array" ref="IP1">LettreColonne(COLUMN(IP2))</f>
        <v>IP</v>
      </c>
      <c r="IQ1" s="9" t="str" cm="1">
        <f t="array" ref="IQ1">LettreColonne(COLUMN(IQ2))</f>
        <v>IQ</v>
      </c>
      <c r="IR1" s="9" t="str" cm="1">
        <f t="array" ref="IR1">LettreColonne(COLUMN(IR2))</f>
        <v>IR</v>
      </c>
      <c r="IS1" s="9" t="str" cm="1">
        <f t="array" ref="IS1">LettreColonne(COLUMN(IS2))</f>
        <v>IS</v>
      </c>
      <c r="IT1" s="9" t="str" cm="1">
        <f t="array" ref="IT1">LettreColonne(COLUMN(IT2))</f>
        <v>IT</v>
      </c>
      <c r="IU1" s="9" t="str" cm="1">
        <f t="array" ref="IU1">LettreColonne(COLUMN(IU2))</f>
        <v>IU</v>
      </c>
      <c r="IV1" s="9" t="str" cm="1">
        <f t="array" ref="IV1">LettreColonne(COLUMN(IV2))</f>
        <v>IV</v>
      </c>
      <c r="IW1" s="9" t="str" cm="1">
        <f t="array" ref="IW1">LettreColonne(COLUMN(IW2))</f>
        <v>IW</v>
      </c>
      <c r="IX1" s="9" t="str" cm="1">
        <f t="array" ref="IX1">LettreColonne(COLUMN(IX2))</f>
        <v>IX</v>
      </c>
      <c r="IY1" s="9" t="str" cm="1">
        <f t="array" ref="IY1">LettreColonne(COLUMN(IY2))</f>
        <v>IY</v>
      </c>
      <c r="IZ1" s="9" t="str" cm="1">
        <f t="array" ref="IZ1">LettreColonne(COLUMN(IZ2))</f>
        <v>IZ</v>
      </c>
      <c r="JA1" s="9" t="str" cm="1">
        <f t="array" ref="JA1">LettreColonne(COLUMN(JA2))</f>
        <v>JA</v>
      </c>
      <c r="JB1" s="9" t="str" cm="1">
        <f t="array" ref="JB1">LettreColonne(COLUMN(JB2))</f>
        <v>JB</v>
      </c>
      <c r="JC1" s="9" t="str" cm="1">
        <f t="array" ref="JC1">LettreColonne(COLUMN(JC2))</f>
        <v>JC</v>
      </c>
      <c r="JD1" s="9" t="str" cm="1">
        <f t="array" ref="JD1">LettreColonne(COLUMN(JD2))</f>
        <v>JD</v>
      </c>
      <c r="JE1" s="9" t="str" cm="1">
        <f t="array" ref="JE1">LettreColonne(COLUMN(JE2))</f>
        <v>JE</v>
      </c>
      <c r="JF1" s="9" t="str" cm="1">
        <f t="array" ref="JF1">LettreColonne(COLUMN(JF2))</f>
        <v>JF</v>
      </c>
      <c r="JG1" s="9" t="str" cm="1">
        <f t="array" ref="JG1">LettreColonne(COLUMN(JG2))</f>
        <v>JG</v>
      </c>
      <c r="JH1" s="9" t="str" cm="1">
        <f t="array" ref="JH1">LettreColonne(COLUMN(JH2))</f>
        <v>JH</v>
      </c>
      <c r="JI1" s="9" t="str" cm="1">
        <f t="array" ref="JI1">LettreColonne(COLUMN(JI2))</f>
        <v>JI</v>
      </c>
      <c r="JJ1" s="9" t="str" cm="1">
        <f t="array" ref="JJ1">LettreColonne(COLUMN(JJ2))</f>
        <v>JJ</v>
      </c>
      <c r="JK1" s="9" t="str" cm="1">
        <f t="array" ref="JK1">LettreColonne(COLUMN(JK2))</f>
        <v>JK</v>
      </c>
      <c r="JL1" s="9" t="str" cm="1">
        <f t="array" ref="JL1">LettreColonne(COLUMN(JL2))</f>
        <v>JL</v>
      </c>
      <c r="JM1" s="9" t="str" cm="1">
        <f t="array" ref="JM1">LettreColonne(COLUMN(JM2))</f>
        <v>JM</v>
      </c>
      <c r="JN1" s="9" t="str" cm="1">
        <f t="array" ref="JN1">LettreColonne(COLUMN(JN2))</f>
        <v>JN</v>
      </c>
      <c r="JO1" s="9" t="str" cm="1">
        <f t="array" ref="JO1">LettreColonne(COLUMN(JO2))</f>
        <v>JO</v>
      </c>
      <c r="JP1" s="9" t="str" cm="1">
        <f t="array" ref="JP1">LettreColonne(COLUMN(JP2))</f>
        <v>JP</v>
      </c>
      <c r="JQ1" s="9" t="str" cm="1">
        <f t="array" ref="JQ1">LettreColonne(COLUMN(JQ2))</f>
        <v>JQ</v>
      </c>
      <c r="JR1" s="9" t="str" cm="1">
        <f t="array" ref="JR1">LettreColonne(COLUMN(JR2))</f>
        <v>JR</v>
      </c>
      <c r="JS1" s="9" t="str" cm="1">
        <f t="array" ref="JS1">LettreColonne(COLUMN(JS2))</f>
        <v>JS</v>
      </c>
      <c r="JT1" s="9" t="str" cm="1">
        <f t="array" ref="JT1">LettreColonne(COLUMN(JT2))</f>
        <v>JT</v>
      </c>
      <c r="JU1" s="9" t="str" cm="1">
        <f t="array" ref="JU1">LettreColonne(COLUMN(JU2))</f>
        <v>JU</v>
      </c>
      <c r="JV1" s="9" t="str" cm="1">
        <f t="array" ref="JV1">LettreColonne(COLUMN(JV2))</f>
        <v>JV</v>
      </c>
      <c r="JW1" s="9" t="str" cm="1">
        <f t="array" ref="JW1">LettreColonne(COLUMN(JW2))</f>
        <v>JW</v>
      </c>
      <c r="JX1" s="9" t="str" cm="1">
        <f t="array" ref="JX1">LettreColonne(COLUMN(JX2))</f>
        <v>JX</v>
      </c>
      <c r="JY1" s="9" t="str" cm="1">
        <f t="array" ref="JY1">LettreColonne(COLUMN(JY2))</f>
        <v>JY</v>
      </c>
      <c r="JZ1" s="9" t="str" cm="1">
        <f t="array" ref="JZ1">LettreColonne(COLUMN(JZ2))</f>
        <v>JZ</v>
      </c>
      <c r="KA1" s="9" t="str" cm="1">
        <f t="array" ref="KA1">LettreColonne(COLUMN(KA2))</f>
        <v>KA</v>
      </c>
      <c r="KB1" s="9" t="str" cm="1">
        <f t="array" ref="KB1">LettreColonne(COLUMN(KB2))</f>
        <v>KB</v>
      </c>
      <c r="KC1" s="9" t="str" cm="1">
        <f t="array" ref="KC1">LettreColonne(COLUMN(KC2))</f>
        <v>KC</v>
      </c>
      <c r="KD1" s="9" t="str" cm="1">
        <f t="array" ref="KD1">LettreColonne(COLUMN(KD2))</f>
        <v>KD</v>
      </c>
      <c r="KE1" s="9" t="str" cm="1">
        <f t="array" ref="KE1">LettreColonne(COLUMN(KE2))</f>
        <v>KE</v>
      </c>
      <c r="KF1" s="9" t="str" cm="1">
        <f t="array" ref="KF1">LettreColonne(COLUMN(KF2))</f>
        <v>KF</v>
      </c>
      <c r="KG1" s="9" t="str" cm="1">
        <f t="array" ref="KG1">LettreColonne(COLUMN(KG2))</f>
        <v>KG</v>
      </c>
      <c r="KH1" s="9" t="str" cm="1">
        <f t="array" ref="KH1">LettreColonne(COLUMN(KH2))</f>
        <v>KH</v>
      </c>
      <c r="KI1" s="9" t="str" cm="1">
        <f t="array" ref="KI1">LettreColonne(COLUMN(KI2))</f>
        <v>KI</v>
      </c>
      <c r="KJ1" s="9" t="str" cm="1">
        <f t="array" ref="KJ1">LettreColonne(COLUMN(KJ2))</f>
        <v>KJ</v>
      </c>
      <c r="KK1" s="9" t="str" cm="1">
        <f t="array" ref="KK1">LettreColonne(COLUMN(KK2))</f>
        <v>KK</v>
      </c>
      <c r="KL1" s="9" t="str" cm="1">
        <f t="array" ref="KL1">LettreColonne(COLUMN(KL2))</f>
        <v>KL</v>
      </c>
      <c r="KM1" s="9" t="str" cm="1">
        <f t="array" ref="KM1">LettreColonne(COLUMN(KM2))</f>
        <v>KM</v>
      </c>
      <c r="KN1" s="9" t="str" cm="1">
        <f t="array" ref="KN1">LettreColonne(COLUMN(KN2))</f>
        <v>KN</v>
      </c>
      <c r="KO1" s="9" t="str" cm="1">
        <f t="array" ref="KO1">LettreColonne(COLUMN(KO2))</f>
        <v>KO</v>
      </c>
      <c r="KP1" s="9" t="str" cm="1">
        <f t="array" ref="KP1">LettreColonne(COLUMN(KP2))</f>
        <v>KP</v>
      </c>
      <c r="KQ1" s="9" t="str" cm="1">
        <f t="array" ref="KQ1">LettreColonne(COLUMN(KQ2))</f>
        <v>KQ</v>
      </c>
      <c r="KR1" s="9" t="str" cm="1">
        <f t="array" ref="KR1">LettreColonne(COLUMN(KR2))</f>
        <v>KR</v>
      </c>
      <c r="KS1" s="9" t="str" cm="1">
        <f t="array" ref="KS1">LettreColonne(COLUMN(KS2))</f>
        <v>KS</v>
      </c>
      <c r="KT1" s="9" t="str" cm="1">
        <f t="array" ref="KT1">LettreColonne(COLUMN(KT2))</f>
        <v>KT</v>
      </c>
      <c r="KU1" s="9" t="str" cm="1">
        <f t="array" ref="KU1">LettreColonne(COLUMN(KU2))</f>
        <v>KU</v>
      </c>
      <c r="KV1" s="9" t="str" cm="1">
        <f t="array" ref="KV1">LettreColonne(COLUMN(KV2))</f>
        <v>KV</v>
      </c>
      <c r="KW1" s="9" t="str" cm="1">
        <f t="array" ref="KW1">LettreColonne(COLUMN(KW2))</f>
        <v>KW</v>
      </c>
      <c r="KX1" s="9" t="str" cm="1">
        <f t="array" ref="KX1">LettreColonne(COLUMN(KX2))</f>
        <v>KX</v>
      </c>
      <c r="KY1" s="9" t="str" cm="1">
        <f t="array" ref="KY1">LettreColonne(COLUMN(KY2))</f>
        <v>KY</v>
      </c>
      <c r="KZ1" s="9" t="str" cm="1">
        <f t="array" ref="KZ1">LettreColonne(COLUMN(KZ2))</f>
        <v>KZ</v>
      </c>
      <c r="LA1" s="9" t="str" cm="1">
        <f t="array" ref="LA1">LettreColonne(COLUMN(LA2))</f>
        <v>LA</v>
      </c>
      <c r="LB1" s="9" t="str" cm="1">
        <f t="array" ref="LB1">LettreColonne(COLUMN(LB2))</f>
        <v>LB</v>
      </c>
      <c r="LC1" s="9" t="str" cm="1">
        <f t="array" ref="LC1">LettreColonne(COLUMN(LC2))</f>
        <v>LC</v>
      </c>
      <c r="LD1" s="9" t="str" cm="1">
        <f t="array" ref="LD1">LettreColonne(COLUMN(LD2))</f>
        <v>LD</v>
      </c>
      <c r="LE1" s="9" t="str" cm="1">
        <f t="array" ref="LE1">LettreColonne(COLUMN(LE2))</f>
        <v>LE</v>
      </c>
      <c r="LF1" s="9" t="str" cm="1">
        <f t="array" ref="LF1">LettreColonne(COLUMN(LF2))</f>
        <v>LF</v>
      </c>
      <c r="LG1" s="9" t="str" cm="1">
        <f t="array" ref="LG1">LettreColonne(COLUMN(LG2))</f>
        <v>LG</v>
      </c>
      <c r="LH1" s="9" t="str" cm="1">
        <f t="array" ref="LH1">LettreColonne(COLUMN(LH2))</f>
        <v>LH</v>
      </c>
      <c r="LI1" s="9" t="str" cm="1">
        <f t="array" ref="LI1">LettreColonne(COLUMN(LI2))</f>
        <v>LI</v>
      </c>
      <c r="LJ1" s="9" t="str" cm="1">
        <f t="array" ref="LJ1">LettreColonne(COLUMN(LJ2))</f>
        <v>LJ</v>
      </c>
      <c r="LK1" s="9" t="str" cm="1">
        <f t="array" ref="LK1">LettreColonne(COLUMN(LK2))</f>
        <v>LK</v>
      </c>
      <c r="LL1" s="9" t="str" cm="1">
        <f t="array" ref="LL1">LettreColonne(COLUMN(LL2))</f>
        <v>LL</v>
      </c>
      <c r="LM1" s="9" t="str" cm="1">
        <f t="array" ref="LM1">LettreColonne(COLUMN(LM2))</f>
        <v>LM</v>
      </c>
      <c r="LN1" s="9" t="str" cm="1">
        <f t="array" ref="LN1">LettreColonne(COLUMN(LN2))</f>
        <v>LN</v>
      </c>
      <c r="LO1" s="9" t="str" cm="1">
        <f t="array" ref="LO1">LettreColonne(COLUMN(LO2))</f>
        <v>LO</v>
      </c>
      <c r="LP1" s="9" t="str" cm="1">
        <f t="array" ref="LP1">LettreColonne(COLUMN(LP2))</f>
        <v>LP</v>
      </c>
      <c r="LQ1" s="9" t="str" cm="1">
        <f t="array" ref="LQ1">LettreColonne(COLUMN(LQ2))</f>
        <v>LQ</v>
      </c>
      <c r="LR1" s="9" t="str" cm="1">
        <f t="array" ref="LR1">LettreColonne(COLUMN(LR2))</f>
        <v>LR</v>
      </c>
      <c r="LS1" s="9" t="str" cm="1">
        <f t="array" ref="LS1">LettreColonne(COLUMN(LS2))</f>
        <v>LS</v>
      </c>
      <c r="LT1" s="9" t="str" cm="1">
        <f t="array" ref="LT1">LettreColonne(COLUMN(LT2))</f>
        <v>LT</v>
      </c>
      <c r="LU1" s="9" t="str" cm="1">
        <f t="array" ref="LU1">LettreColonne(COLUMN(LU2))</f>
        <v>LU</v>
      </c>
      <c r="LV1" s="9" t="str" cm="1">
        <f t="array" ref="LV1">LettreColonne(COLUMN(LV2))</f>
        <v>LV</v>
      </c>
      <c r="LW1" s="9" t="str" cm="1">
        <f t="array" ref="LW1">LettreColonne(COLUMN(LW2))</f>
        <v>LW</v>
      </c>
      <c r="LX1" s="9" t="str" cm="1">
        <f t="array" ref="LX1">LettreColonne(COLUMN(LX2))</f>
        <v>LX</v>
      </c>
      <c r="LY1" s="9" t="str" cm="1">
        <f t="array" ref="LY1">LettreColonne(COLUMN(LY2))</f>
        <v>LY</v>
      </c>
      <c r="LZ1" s="9" t="str" cm="1">
        <f t="array" ref="LZ1">LettreColonne(COLUMN(LZ2))</f>
        <v>LZ</v>
      </c>
      <c r="MA1" s="9" t="str" cm="1">
        <f t="array" ref="MA1">LettreColonne(COLUMN(MA2))</f>
        <v>MA</v>
      </c>
      <c r="MB1" s="9" t="str" cm="1">
        <f t="array" ref="MB1">LettreColonne(COLUMN(MB2))</f>
        <v>MB</v>
      </c>
      <c r="MC1" s="9" t="str" cm="1">
        <f t="array" ref="MC1">LettreColonne(COLUMN(MC2))</f>
        <v>MC</v>
      </c>
      <c r="MD1" s="9" t="str" cm="1">
        <f t="array" ref="MD1">LettreColonne(COLUMN(MD2))</f>
        <v>MD</v>
      </c>
      <c r="ME1" s="9" t="str" cm="1">
        <f t="array" ref="ME1">LettreColonne(COLUMN(ME2))</f>
        <v>ME</v>
      </c>
      <c r="MF1" s="9" t="str" cm="1">
        <f t="array" ref="MF1">LettreColonne(COLUMN(MF2))</f>
        <v>MF</v>
      </c>
      <c r="MG1" s="9" t="str" cm="1">
        <f t="array" ref="MG1">LettreColonne(COLUMN(MG2))</f>
        <v>MG</v>
      </c>
      <c r="MH1" s="9" t="str" cm="1">
        <f t="array" ref="MH1">LettreColonne(COLUMN(MH2))</f>
        <v>MH</v>
      </c>
      <c r="MI1" s="9" t="str" cm="1">
        <f t="array" ref="MI1">LettreColonne(COLUMN(MI2))</f>
        <v>MI</v>
      </c>
      <c r="MJ1" s="9" t="str" cm="1">
        <f t="array" ref="MJ1">LettreColonne(COLUMN(MJ2))</f>
        <v>MJ</v>
      </c>
      <c r="MK1" s="9" t="str" cm="1">
        <f t="array" ref="MK1">LettreColonne(COLUMN(MK2))</f>
        <v>MK</v>
      </c>
      <c r="ML1" s="9" t="str" cm="1">
        <f t="array" ref="ML1">LettreColonne(COLUMN(ML2))</f>
        <v>ML</v>
      </c>
      <c r="MM1" s="9" t="str" cm="1">
        <f t="array" ref="MM1">LettreColonne(COLUMN(MM2))</f>
        <v>MM</v>
      </c>
      <c r="MN1" s="9" t="str" cm="1">
        <f t="array" ref="MN1">LettreColonne(COLUMN(MN2))</f>
        <v>MN</v>
      </c>
      <c r="MO1" s="9" t="str" cm="1">
        <f t="array" ref="MO1">LettreColonne(COLUMN(MO2))</f>
        <v>MO</v>
      </c>
      <c r="MP1" s="9" t="str" cm="1">
        <f t="array" ref="MP1">LettreColonne(COLUMN(MP2))</f>
        <v>MP</v>
      </c>
      <c r="MQ1" s="9" t="str" cm="1">
        <f t="array" ref="MQ1">LettreColonne(COLUMN(MQ2))</f>
        <v>MQ</v>
      </c>
      <c r="MR1" s="9" t="str" cm="1">
        <f t="array" ref="MR1">LettreColonne(COLUMN(MR2))</f>
        <v>MR</v>
      </c>
      <c r="MS1" s="9" t="str" cm="1">
        <f t="array" ref="MS1">LettreColonne(COLUMN(MS2))</f>
        <v>MS</v>
      </c>
      <c r="MT1" s="9" t="str" cm="1">
        <f t="array" ref="MT1">LettreColonne(COLUMN(MT2))</f>
        <v>MT</v>
      </c>
      <c r="MU1" s="9" t="str" cm="1">
        <f t="array" ref="MU1">LettreColonne(COLUMN(MU2))</f>
        <v>MU</v>
      </c>
      <c r="MV1" s="9" t="str" cm="1">
        <f t="array" ref="MV1">LettreColonne(COLUMN(MV2))</f>
        <v>MV</v>
      </c>
      <c r="MW1" s="9" t="str" cm="1">
        <f t="array" ref="MW1">LettreColonne(COLUMN(MW2))</f>
        <v>MW</v>
      </c>
      <c r="MX1" s="9" t="str" cm="1">
        <f t="array" ref="MX1">LettreColonne(COLUMN(MX2))</f>
        <v>MX</v>
      </c>
      <c r="MY1" s="9" t="str" cm="1">
        <f t="array" ref="MY1">LettreColonne(COLUMN(MY2))</f>
        <v>MY</v>
      </c>
      <c r="MZ1" s="9" t="str" cm="1">
        <f t="array" ref="MZ1">LettreColonne(COLUMN(MZ2))</f>
        <v>MZ</v>
      </c>
      <c r="NA1" s="9" t="str" cm="1">
        <f t="array" ref="NA1">LettreColonne(COLUMN(NA2))</f>
        <v>NA</v>
      </c>
      <c r="NB1" s="9" t="str" cm="1">
        <f t="array" ref="NB1">LettreColonne(COLUMN(NB2))</f>
        <v>NB</v>
      </c>
      <c r="NC1" s="9" t="str" cm="1">
        <f t="array" ref="NC1">LettreColonne(COLUMN(NC2))</f>
        <v>NC</v>
      </c>
      <c r="ND1" s="9" t="str" cm="1">
        <f t="array" ref="ND1">LettreColonne(COLUMN(ND2))</f>
        <v>ND</v>
      </c>
      <c r="NE1" s="9" t="str" cm="1">
        <f t="array" ref="NE1">LettreColonne(COLUMN(NE2))</f>
        <v>NE</v>
      </c>
      <c r="NF1" s="9" t="str" cm="1">
        <f t="array" ref="NF1">LettreColonne(COLUMN(NF2))</f>
        <v>NF</v>
      </c>
      <c r="NG1" s="9" t="str" cm="1">
        <f t="array" ref="NG1">LettreColonne(COLUMN(NG2))</f>
        <v>NG</v>
      </c>
      <c r="NH1" s="9" t="str" cm="1">
        <f t="array" ref="NH1">LettreColonne(COLUMN(NH2))</f>
        <v>NH</v>
      </c>
      <c r="NI1" s="9" t="str" cm="1">
        <f t="array" ref="NI1">LettreColonne(COLUMN(NI2))</f>
        <v>NI</v>
      </c>
      <c r="NJ1" s="9" t="str" cm="1">
        <f t="array" ref="NJ1">LettreColonne(COLUMN(NJ2))</f>
        <v>NJ</v>
      </c>
      <c r="NK1" s="9" t="str" cm="1">
        <f t="array" ref="NK1">LettreColonne(COLUMN(NK2))</f>
        <v>NK</v>
      </c>
      <c r="NL1" s="9" t="str" cm="1">
        <f t="array" ref="NL1">LettreColonne(COLUMN(NL2))</f>
        <v>NL</v>
      </c>
      <c r="NM1" s="9" t="str" cm="1">
        <f t="array" ref="NM1">LettreColonne(COLUMN(NM2))</f>
        <v>NM</v>
      </c>
      <c r="NN1" s="9" t="str" cm="1">
        <f t="array" ref="NN1">LettreColonne(COLUMN(NN2))</f>
        <v>NN</v>
      </c>
      <c r="NO1" s="9" t="str" cm="1">
        <f t="array" ref="NO1">LettreColonne(COLUMN(NO2))</f>
        <v>NO</v>
      </c>
      <c r="NP1" s="9" t="str" cm="1">
        <f t="array" ref="NP1">LettreColonne(COLUMN(NP2))</f>
        <v>NP</v>
      </c>
      <c r="NQ1" s="9" t="str" cm="1">
        <f t="array" ref="NQ1">LettreColonne(COLUMN(NQ2))</f>
        <v>NQ</v>
      </c>
      <c r="NR1" s="9" t="str" cm="1">
        <f t="array" ref="NR1">LettreColonne(COLUMN(NR2))</f>
        <v>NR</v>
      </c>
      <c r="NS1" s="9" t="str" cm="1">
        <f t="array" ref="NS1">LettreColonne(COLUMN(NS2))</f>
        <v>NS</v>
      </c>
      <c r="NT1" s="9" t="str" cm="1">
        <f t="array" ref="NT1">LettreColonne(COLUMN(NT2))</f>
        <v>NT</v>
      </c>
      <c r="NU1" s="9" t="str" cm="1">
        <f t="array" ref="NU1">LettreColonne(COLUMN(NU2))</f>
        <v>NU</v>
      </c>
      <c r="NV1" s="9" t="str" cm="1">
        <f t="array" ref="NV1">LettreColonne(COLUMN(NV2))</f>
        <v>NV</v>
      </c>
      <c r="NW1" s="9" t="str" cm="1">
        <f t="array" ref="NW1">LettreColonne(COLUMN(NW2))</f>
        <v>NW</v>
      </c>
      <c r="NX1" s="9" t="str" cm="1">
        <f t="array" ref="NX1">LettreColonne(COLUMN(NX2))</f>
        <v>NX</v>
      </c>
      <c r="NY1" s="9" t="str" cm="1">
        <f t="array" ref="NY1">LettreColonne(COLUMN(NY2))</f>
        <v>NY</v>
      </c>
      <c r="NZ1" s="9" t="str" cm="1">
        <f t="array" ref="NZ1">LettreColonne(COLUMN(NZ2))</f>
        <v>NZ</v>
      </c>
      <c r="OA1" s="9" t="str" cm="1">
        <f t="array" ref="OA1">LettreColonne(COLUMN(OA2))</f>
        <v>OA</v>
      </c>
      <c r="OB1" s="9" t="str" cm="1">
        <f t="array" ref="OB1">LettreColonne(COLUMN(OB2))</f>
        <v>OB</v>
      </c>
      <c r="OC1" s="9" t="str" cm="1">
        <f t="array" ref="OC1">LettreColonne(COLUMN(OC2))</f>
        <v>OC</v>
      </c>
      <c r="OD1" s="9" t="str" cm="1">
        <f t="array" ref="OD1">LettreColonne(COLUMN(OD2))</f>
        <v>OD</v>
      </c>
      <c r="OE1" s="9" t="str" cm="1">
        <f t="array" ref="OE1">LettreColonne(COLUMN(OE2))</f>
        <v>OE</v>
      </c>
      <c r="OF1" s="9" t="str" cm="1">
        <f t="array" ref="OF1">LettreColonne(COLUMN(OF2))</f>
        <v>OF</v>
      </c>
      <c r="OG1" s="9" t="str" cm="1">
        <f t="array" ref="OG1">LettreColonne(COLUMN(OG2))</f>
        <v>OG</v>
      </c>
      <c r="OH1" s="9" t="str" cm="1">
        <f t="array" ref="OH1">LettreColonne(COLUMN(OH2))</f>
        <v>OH</v>
      </c>
      <c r="OI1" s="9" t="str" cm="1">
        <f t="array" ref="OI1">LettreColonne(COLUMN(OI2))</f>
        <v>OI</v>
      </c>
      <c r="OJ1" s="9" t="str" cm="1">
        <f t="array" ref="OJ1">LettreColonne(COLUMN(OJ2))</f>
        <v>OJ</v>
      </c>
      <c r="OK1" s="9" t="str" cm="1">
        <f t="array" ref="OK1">LettreColonne(COLUMN(OK2))</f>
        <v>OK</v>
      </c>
      <c r="OL1" s="9" t="str" cm="1">
        <f t="array" ref="OL1">LettreColonne(COLUMN(OL2))</f>
        <v>OL</v>
      </c>
      <c r="OM1" s="9" t="str" cm="1">
        <f t="array" ref="OM1">LettreColonne(COLUMN(OM2))</f>
        <v>OM</v>
      </c>
      <c r="ON1" s="9" t="str" cm="1">
        <f t="array" ref="ON1">LettreColonne(COLUMN(ON2))</f>
        <v>ON</v>
      </c>
      <c r="OO1" s="9" t="str" cm="1">
        <f t="array" ref="OO1">LettreColonne(COLUMN(OO2))</f>
        <v>OO</v>
      </c>
      <c r="OP1" s="9" t="str" cm="1">
        <f t="array" ref="OP1">LettreColonne(COLUMN(OP2))</f>
        <v>OP</v>
      </c>
      <c r="OQ1" s="9" t="str" cm="1">
        <f t="array" ref="OQ1">LettreColonne(COLUMN(OQ2))</f>
        <v>OQ</v>
      </c>
      <c r="OR1" s="9" t="str" cm="1">
        <f t="array" ref="OR1">LettreColonne(COLUMN(OR2))</f>
        <v>OR</v>
      </c>
      <c r="OS1" s="9" t="str" cm="1">
        <f t="array" ref="OS1">LettreColonne(COLUMN(OS2))</f>
        <v>OS</v>
      </c>
      <c r="OT1" s="9" t="str" cm="1">
        <f t="array" ref="OT1">LettreColonne(COLUMN(OT2))</f>
        <v>OT</v>
      </c>
      <c r="OU1" s="9" t="str" cm="1">
        <f t="array" ref="OU1">LettreColonne(COLUMN(OU2))</f>
        <v>OU</v>
      </c>
      <c r="OV1" s="9" t="str" cm="1">
        <f t="array" ref="OV1">LettreColonne(COLUMN(OV2))</f>
        <v>OV</v>
      </c>
      <c r="OW1" s="9" t="str" cm="1">
        <f t="array" ref="OW1">LettreColonne(COLUMN(OW2))</f>
        <v>OW</v>
      </c>
      <c r="OX1" s="9" t="str" cm="1">
        <f t="array" ref="OX1">LettreColonne(COLUMN(OX2))</f>
        <v>OX</v>
      </c>
      <c r="OY1" s="9" t="str" cm="1">
        <f t="array" ref="OY1">LettreColonne(COLUMN(OY2))</f>
        <v>OY</v>
      </c>
      <c r="OZ1" s="9" t="str" cm="1">
        <f t="array" ref="OZ1">LettreColonne(COLUMN(OZ2))</f>
        <v>OZ</v>
      </c>
      <c r="PA1" s="9" t="str" cm="1">
        <f t="array" ref="PA1">LettreColonne(COLUMN(PA2))</f>
        <v>PA</v>
      </c>
      <c r="PB1" s="9" t="str" cm="1">
        <f t="array" ref="PB1">LettreColonne(COLUMN(PB2))</f>
        <v>PB</v>
      </c>
      <c r="PC1" s="9" t="str" cm="1">
        <f t="array" ref="PC1">LettreColonne(COLUMN(PC2))</f>
        <v>PC</v>
      </c>
      <c r="PD1" s="9" t="str" cm="1">
        <f t="array" ref="PD1">LettreColonne(COLUMN(PD2))</f>
        <v>PD</v>
      </c>
      <c r="PE1" s="9" t="str" cm="1">
        <f t="array" ref="PE1">LettreColonne(COLUMN(PE2))</f>
        <v>PE</v>
      </c>
      <c r="PF1" s="9" t="str" cm="1">
        <f t="array" ref="PF1">LettreColonne(COLUMN(PF2))</f>
        <v>PF</v>
      </c>
      <c r="PG1" s="9" t="str" cm="1">
        <f t="array" ref="PG1">LettreColonne(COLUMN(PG2))</f>
        <v>PG</v>
      </c>
      <c r="PH1" s="9" t="str" cm="1">
        <f t="array" ref="PH1">LettreColonne(COLUMN(PH2))</f>
        <v>PH</v>
      </c>
      <c r="PI1" s="9" t="str" cm="1">
        <f t="array" ref="PI1">LettreColonne(COLUMN(PI2))</f>
        <v>PI</v>
      </c>
      <c r="PJ1" s="9" t="str" cm="1">
        <f t="array" ref="PJ1">LettreColonne(COLUMN(PJ2))</f>
        <v>PJ</v>
      </c>
      <c r="PK1" s="9" t="str" cm="1">
        <f t="array" ref="PK1">LettreColonne(COLUMN(PK2))</f>
        <v>PK</v>
      </c>
      <c r="PL1" s="9" t="str" cm="1">
        <f t="array" ref="PL1">LettreColonne(COLUMN(PL2))</f>
        <v>PL</v>
      </c>
      <c r="PM1" s="9" t="str" cm="1">
        <f t="array" ref="PM1">LettreColonne(COLUMN(PM2))</f>
        <v>PM</v>
      </c>
      <c r="PN1" s="9" t="str" cm="1">
        <f t="array" ref="PN1">LettreColonne(COLUMN(PN2))</f>
        <v>PN</v>
      </c>
      <c r="PO1" s="9" t="str" cm="1">
        <f t="array" ref="PO1">LettreColonne(COLUMN(PO2))</f>
        <v>PO</v>
      </c>
      <c r="PP1" s="9" t="str" cm="1">
        <f t="array" ref="PP1">LettreColonne(COLUMN(PP2))</f>
        <v>PP</v>
      </c>
      <c r="PQ1" s="9" t="str" cm="1">
        <f t="array" ref="PQ1">LettreColonne(COLUMN(PQ2))</f>
        <v>PQ</v>
      </c>
      <c r="PR1" s="9" t="str" cm="1">
        <f t="array" ref="PR1">LettreColonne(COLUMN(PR2))</f>
        <v>PR</v>
      </c>
      <c r="PS1" s="9" t="str" cm="1">
        <f t="array" ref="PS1">LettreColonne(COLUMN(PS2))</f>
        <v>PS</v>
      </c>
      <c r="PT1" s="9" t="str" cm="1">
        <f t="array" ref="PT1">LettreColonne(COLUMN(PT2))</f>
        <v>PT</v>
      </c>
      <c r="PU1" s="9" t="str" cm="1">
        <f t="array" ref="PU1">LettreColonne(COLUMN(PU2))</f>
        <v>PU</v>
      </c>
      <c r="PV1" s="9" t="str" cm="1">
        <f t="array" ref="PV1">LettreColonne(COLUMN(PV2))</f>
        <v>PV</v>
      </c>
      <c r="PW1" s="9" t="str" cm="1">
        <f t="array" ref="PW1">LettreColonne(COLUMN(PW2))</f>
        <v>PW</v>
      </c>
      <c r="PX1" s="9" t="str" cm="1">
        <f t="array" ref="PX1">LettreColonne(COLUMN(PX2))</f>
        <v>PX</v>
      </c>
      <c r="PY1" s="9" t="str" cm="1">
        <f t="array" ref="PY1">LettreColonne(COLUMN(PY2))</f>
        <v>PY</v>
      </c>
      <c r="PZ1" s="9" t="str" cm="1">
        <f t="array" ref="PZ1">LettreColonne(COLUMN(PZ2))</f>
        <v>PZ</v>
      </c>
      <c r="QA1" s="9" t="str" cm="1">
        <f t="array" ref="QA1">LettreColonne(COLUMN(QA2))</f>
        <v>QA</v>
      </c>
      <c r="QB1" s="9" t="str" cm="1">
        <f t="array" ref="QB1">LettreColonne(COLUMN(QB2))</f>
        <v>QB</v>
      </c>
      <c r="QC1" s="9" t="str" cm="1">
        <f t="array" ref="QC1">LettreColonne(COLUMN(QC2))</f>
        <v>QC</v>
      </c>
      <c r="QD1" s="9" t="str" cm="1">
        <f t="array" ref="QD1">LettreColonne(COLUMN(QD2))</f>
        <v>QD</v>
      </c>
      <c r="QE1" s="9" t="str" cm="1">
        <f t="array" ref="QE1">LettreColonne(COLUMN(QE2))</f>
        <v>QE</v>
      </c>
      <c r="QF1" s="9" t="str" cm="1">
        <f t="array" ref="QF1">LettreColonne(COLUMN(QF2))</f>
        <v>QF</v>
      </c>
      <c r="QG1" s="9" t="str" cm="1">
        <f t="array" ref="QG1">LettreColonne(COLUMN(QG2))</f>
        <v>QG</v>
      </c>
      <c r="QH1" s="9" t="str" cm="1">
        <f t="array" ref="QH1">LettreColonne(COLUMN(QH2))</f>
        <v>QH</v>
      </c>
      <c r="QI1" s="9" t="str" cm="1">
        <f t="array" ref="QI1">LettreColonne(COLUMN(QI2))</f>
        <v>QI</v>
      </c>
      <c r="QJ1" s="9" t="str" cm="1">
        <f t="array" ref="QJ1">LettreColonne(COLUMN(QJ2))</f>
        <v>QJ</v>
      </c>
      <c r="QK1" s="9" t="str" cm="1">
        <f t="array" ref="QK1">LettreColonne(COLUMN(QK2))</f>
        <v>QK</v>
      </c>
      <c r="QL1" s="9" t="str" cm="1">
        <f t="array" ref="QL1">LettreColonne(COLUMN(QL2))</f>
        <v>QL</v>
      </c>
      <c r="QM1" s="9" t="str" cm="1">
        <f t="array" ref="QM1">LettreColonne(COLUMN(QM2))</f>
        <v>QM</v>
      </c>
      <c r="QN1" s="9" t="str" cm="1">
        <f t="array" ref="QN1">LettreColonne(COLUMN(QN2))</f>
        <v>QN</v>
      </c>
      <c r="QO1" s="9" t="str" cm="1">
        <f t="array" ref="QO1">LettreColonne(COLUMN(QO2))</f>
        <v>QO</v>
      </c>
      <c r="QP1" s="9" t="str" cm="1">
        <f t="array" ref="QP1">LettreColonne(COLUMN(QP2))</f>
        <v>QP</v>
      </c>
      <c r="QQ1" s="9" t="str" cm="1">
        <f t="array" ref="QQ1">LettreColonne(COLUMN(QQ2))</f>
        <v>QQ</v>
      </c>
      <c r="QR1" s="9" t="str" cm="1">
        <f t="array" ref="QR1">LettreColonne(COLUMN(QR2))</f>
        <v>QR</v>
      </c>
      <c r="QS1" s="9" t="str" cm="1">
        <f t="array" ref="QS1">LettreColonne(COLUMN(QS2))</f>
        <v>QS</v>
      </c>
      <c r="QT1" s="9" t="str" cm="1">
        <f t="array" ref="QT1">LettreColonne(COLUMN(QT2))</f>
        <v>QT</v>
      </c>
      <c r="QU1" s="9" t="str" cm="1">
        <f t="array" ref="QU1">LettreColonne(COLUMN(QU2))</f>
        <v>QU</v>
      </c>
      <c r="QV1" s="9" t="str" cm="1">
        <f t="array" ref="QV1">LettreColonne(COLUMN(QV2))</f>
        <v>QV</v>
      </c>
      <c r="QW1" s="9" t="str" cm="1">
        <f t="array" ref="QW1">LettreColonne(COLUMN(QW2))</f>
        <v>QW</v>
      </c>
      <c r="QX1" s="9" t="str" cm="1">
        <f t="array" ref="QX1">LettreColonne(COLUMN(QX2))</f>
        <v>QX</v>
      </c>
      <c r="QY1" s="9" t="str" cm="1">
        <f t="array" ref="QY1">LettreColonne(COLUMN(QY2))</f>
        <v>QY</v>
      </c>
      <c r="QZ1" s="9" t="str" cm="1">
        <f t="array" ref="QZ1">LettreColonne(COLUMN(QZ2))</f>
        <v>QZ</v>
      </c>
      <c r="RA1" s="9" t="str" cm="1">
        <f t="array" ref="RA1">LettreColonne(COLUMN(RA2))</f>
        <v>RA</v>
      </c>
      <c r="RB1" s="9" t="str" cm="1">
        <f t="array" ref="RB1">LettreColonne(COLUMN(RB2))</f>
        <v>RB</v>
      </c>
      <c r="RC1" s="9" t="str" cm="1">
        <f t="array" ref="RC1">LettreColonne(COLUMN(RC2))</f>
        <v>RC</v>
      </c>
      <c r="RD1" s="9" t="str" cm="1">
        <f t="array" ref="RD1">LettreColonne(COLUMN(RD2))</f>
        <v>RD</v>
      </c>
      <c r="RE1" s="9" t="str" cm="1">
        <f t="array" ref="RE1">LettreColonne(COLUMN(RE2))</f>
        <v>RE</v>
      </c>
      <c r="RF1" s="9" t="str" cm="1">
        <f t="array" ref="RF1">LettreColonne(COLUMN(RF2))</f>
        <v>RF</v>
      </c>
      <c r="RG1" s="9" t="str" cm="1">
        <f t="array" ref="RG1">LettreColonne(COLUMN(RG2))</f>
        <v>RG</v>
      </c>
      <c r="RH1" s="9" t="str" cm="1">
        <f t="array" ref="RH1">LettreColonne(COLUMN(RH2))</f>
        <v>RH</v>
      </c>
      <c r="RI1" s="9" t="str" cm="1">
        <f t="array" ref="RI1">LettreColonne(COLUMN(RI2))</f>
        <v>RI</v>
      </c>
      <c r="RJ1" s="9" t="str" cm="1">
        <f t="array" ref="RJ1">LettreColonne(COLUMN(RJ2))</f>
        <v>RJ</v>
      </c>
      <c r="RK1" s="9" t="str" cm="1">
        <f t="array" ref="RK1">LettreColonne(COLUMN(RK2))</f>
        <v>RK</v>
      </c>
      <c r="RL1" s="9" t="str" cm="1">
        <f t="array" ref="RL1">LettreColonne(COLUMN(RL2))</f>
        <v>RL</v>
      </c>
      <c r="RM1" s="9" t="str" cm="1">
        <f t="array" ref="RM1">LettreColonne(COLUMN(RM2))</f>
        <v>RM</v>
      </c>
      <c r="RN1" s="9" t="str" cm="1">
        <f t="array" ref="RN1">LettreColonne(COLUMN(RN2))</f>
        <v>RN</v>
      </c>
      <c r="RO1" s="9" t="str" cm="1">
        <f t="array" ref="RO1">LettreColonne(COLUMN(RO2))</f>
        <v>RO</v>
      </c>
      <c r="RP1" s="9" t="str" cm="1">
        <f t="array" ref="RP1">LettreColonne(COLUMN(RP2))</f>
        <v>RP</v>
      </c>
      <c r="RQ1" s="9" t="str" cm="1">
        <f t="array" ref="RQ1">LettreColonne(COLUMN(RQ2))</f>
        <v>RQ</v>
      </c>
      <c r="RR1" s="9" t="str" cm="1">
        <f t="array" ref="RR1">LettreColonne(COLUMN(RR2))</f>
        <v>RR</v>
      </c>
      <c r="RS1" s="9" t="str" cm="1">
        <f t="array" ref="RS1">LettreColonne(COLUMN(RS2))</f>
        <v>RS</v>
      </c>
      <c r="RT1" s="9" t="str" cm="1">
        <f t="array" ref="RT1">LettreColonne(COLUMN(RT2))</f>
        <v>RT</v>
      </c>
      <c r="RU1" s="9" t="str" cm="1">
        <f t="array" ref="RU1">LettreColonne(COLUMN(RU2))</f>
        <v>RU</v>
      </c>
      <c r="RV1" s="9" t="str" cm="1">
        <f t="array" ref="RV1">LettreColonne(COLUMN(RV2))</f>
        <v>RV</v>
      </c>
      <c r="RW1" s="9" t="str" cm="1">
        <f t="array" ref="RW1">LettreColonne(COLUMN(RW2))</f>
        <v>RW</v>
      </c>
      <c r="RX1" s="9" t="str" cm="1">
        <f t="array" ref="RX1">LettreColonne(COLUMN(RX2))</f>
        <v>RX</v>
      </c>
      <c r="RY1" s="9" t="str" cm="1">
        <f t="array" ref="RY1">LettreColonne(COLUMN(RY2))</f>
        <v>RY</v>
      </c>
      <c r="RZ1" s="9" t="str" cm="1">
        <f t="array" ref="RZ1">LettreColonne(COLUMN(RZ2))</f>
        <v>RZ</v>
      </c>
      <c r="SA1" s="9" t="str" cm="1">
        <f t="array" ref="SA1">LettreColonne(COLUMN(SA2))</f>
        <v>SA</v>
      </c>
      <c r="SB1" s="9" t="str" cm="1">
        <f t="array" ref="SB1">LettreColonne(COLUMN(SB2))</f>
        <v>SB</v>
      </c>
      <c r="SC1" s="9" t="str" cm="1">
        <f t="array" ref="SC1">LettreColonne(COLUMN(SC2))</f>
        <v>SC</v>
      </c>
      <c r="SD1" s="9" t="str" cm="1">
        <f t="array" ref="SD1">LettreColonne(COLUMN(SD2))</f>
        <v>SD</v>
      </c>
      <c r="SE1" s="9" t="str" cm="1">
        <f t="array" ref="SE1">LettreColonne(COLUMN(SE2))</f>
        <v>SE</v>
      </c>
      <c r="SF1" s="9" t="str" cm="1">
        <f t="array" ref="SF1">LettreColonne(COLUMN(SF2))</f>
        <v>SF</v>
      </c>
      <c r="SG1" s="9" t="str" cm="1">
        <f t="array" ref="SG1">LettreColonne(COLUMN(SG2))</f>
        <v>SG</v>
      </c>
      <c r="SH1" s="9" t="str" cm="1">
        <f t="array" ref="SH1">LettreColonne(COLUMN(SH2))</f>
        <v>SH</v>
      </c>
      <c r="SI1" s="9" t="str" cm="1">
        <f t="array" ref="SI1">LettreColonne(COLUMN(SI2))</f>
        <v>SI</v>
      </c>
      <c r="SJ1" s="9" t="str" cm="1">
        <f t="array" ref="SJ1">LettreColonne(COLUMN(SJ2))</f>
        <v>SJ</v>
      </c>
      <c r="SK1" s="9" t="str" cm="1">
        <f t="array" ref="SK1">LettreColonne(COLUMN(SK2))</f>
        <v>SK</v>
      </c>
      <c r="SL1" s="9" t="str" cm="1">
        <f t="array" ref="SL1">LettreColonne(COLUMN(SL2))</f>
        <v>SL</v>
      </c>
      <c r="SM1" s="9" t="str" cm="1">
        <f t="array" ref="SM1">LettreColonne(COLUMN(SM2))</f>
        <v>SM</v>
      </c>
      <c r="SN1" s="9" t="str" cm="1">
        <f t="array" ref="SN1">LettreColonne(COLUMN(SN2))</f>
        <v>SN</v>
      </c>
      <c r="SO1" s="9" t="str" cm="1">
        <f t="array" ref="SO1">LettreColonne(COLUMN(SO2))</f>
        <v>SO</v>
      </c>
      <c r="SP1" s="9" t="str" cm="1">
        <f t="array" ref="SP1">LettreColonne(COLUMN(SP2))</f>
        <v>SP</v>
      </c>
      <c r="SQ1" s="9" t="str" cm="1">
        <f t="array" ref="SQ1">LettreColonne(COLUMN(SQ2))</f>
        <v>SQ</v>
      </c>
      <c r="SR1" s="9" t="str" cm="1">
        <f t="array" ref="SR1">LettreColonne(COLUMN(SR2))</f>
        <v>SR</v>
      </c>
      <c r="SS1" s="9" t="str" cm="1">
        <f t="array" ref="SS1">LettreColonne(COLUMN(SS2))</f>
        <v>SS</v>
      </c>
      <c r="ST1" s="9" t="str" cm="1">
        <f t="array" ref="ST1">LettreColonne(COLUMN(ST2))</f>
        <v>ST</v>
      </c>
      <c r="SU1" s="9" t="str" cm="1">
        <f t="array" ref="SU1">LettreColonne(COLUMN(SU2))</f>
        <v>SU</v>
      </c>
      <c r="SV1" s="9" t="str" cm="1">
        <f t="array" ref="SV1">LettreColonne(COLUMN(SV2))</f>
        <v>SV</v>
      </c>
      <c r="SW1" s="9" t="str" cm="1">
        <f t="array" ref="SW1">LettreColonne(COLUMN(SW2))</f>
        <v>SW</v>
      </c>
      <c r="SX1" s="9" t="str" cm="1">
        <f t="array" ref="SX1">LettreColonne(COLUMN(SX2))</f>
        <v>SX</v>
      </c>
      <c r="SY1" s="9" t="str" cm="1">
        <f t="array" ref="SY1">LettreColonne(COLUMN(SY2))</f>
        <v>SY</v>
      </c>
      <c r="SZ1" s="9" t="str" cm="1">
        <f t="array" ref="SZ1">LettreColonne(COLUMN(SZ2))</f>
        <v>SZ</v>
      </c>
      <c r="TA1" s="9" t="str" cm="1">
        <f t="array" ref="TA1">LettreColonne(COLUMN(TA2))</f>
        <v>TA</v>
      </c>
      <c r="TB1" s="9" t="str" cm="1">
        <f t="array" ref="TB1">LettreColonne(COLUMN(TB2))</f>
        <v>TB</v>
      </c>
      <c r="TC1" s="9" t="str" cm="1">
        <f t="array" ref="TC1">LettreColonne(COLUMN(TC2))</f>
        <v>TC</v>
      </c>
      <c r="TD1" s="9" t="str" cm="1">
        <f t="array" ref="TD1">LettreColonne(COLUMN(TD2))</f>
        <v>TD</v>
      </c>
      <c r="TE1" s="9" t="str" cm="1">
        <f t="array" ref="TE1">LettreColonne(COLUMN(TE2))</f>
        <v>TE</v>
      </c>
      <c r="TF1" s="9" t="str" cm="1">
        <f t="array" ref="TF1">LettreColonne(COLUMN(TF2))</f>
        <v>TF</v>
      </c>
      <c r="TG1" s="9" t="str" cm="1">
        <f t="array" ref="TG1">LettreColonne(COLUMN(TG2))</f>
        <v>TG</v>
      </c>
      <c r="TH1" s="9" t="str" cm="1">
        <f t="array" ref="TH1">LettreColonne(COLUMN(TH2))</f>
        <v>TH</v>
      </c>
      <c r="TI1" s="9" t="str" cm="1">
        <f t="array" ref="TI1">LettreColonne(COLUMN(TI2))</f>
        <v>TI</v>
      </c>
      <c r="TJ1" s="9" t="str" cm="1">
        <f t="array" ref="TJ1">LettreColonne(COLUMN(TJ2))</f>
        <v>TJ</v>
      </c>
      <c r="TK1" s="9" t="str" cm="1">
        <f t="array" ref="TK1">LettreColonne(COLUMN(TK2))</f>
        <v>TK</v>
      </c>
      <c r="TL1" s="9" t="str" cm="1">
        <f t="array" ref="TL1">LettreColonne(COLUMN(TL2))</f>
        <v>TL</v>
      </c>
      <c r="TM1" s="9" t="str" cm="1">
        <f t="array" ref="TM1">LettreColonne(COLUMN(TM2))</f>
        <v>TM</v>
      </c>
      <c r="TN1" s="9" t="str" cm="1">
        <f t="array" ref="TN1">LettreColonne(COLUMN(TN2))</f>
        <v>TN</v>
      </c>
      <c r="TO1" s="9" t="str" cm="1">
        <f t="array" ref="TO1">LettreColonne(COLUMN(TO2))</f>
        <v>TO</v>
      </c>
      <c r="TP1" s="9" t="str" cm="1">
        <f t="array" ref="TP1">LettreColonne(COLUMN(TP2))</f>
        <v>TP</v>
      </c>
      <c r="TQ1" s="9" t="str" cm="1">
        <f t="array" ref="TQ1">LettreColonne(COLUMN(TQ2))</f>
        <v>TQ</v>
      </c>
      <c r="TR1" s="9" t="str" cm="1">
        <f t="array" ref="TR1">LettreColonne(COLUMN(TR2))</f>
        <v>TR</v>
      </c>
      <c r="TS1" s="9" t="str" cm="1">
        <f t="array" ref="TS1">LettreColonne(COLUMN(TS2))</f>
        <v>TS</v>
      </c>
      <c r="TT1" s="9" t="str" cm="1">
        <f t="array" ref="TT1">LettreColonne(COLUMN(TT2))</f>
        <v>TT</v>
      </c>
      <c r="TU1" s="9" t="str" cm="1">
        <f t="array" ref="TU1">LettreColonne(COLUMN(TU2))</f>
        <v>TU</v>
      </c>
      <c r="TV1" s="9" t="str" cm="1">
        <f t="array" ref="TV1">LettreColonne(COLUMN(TV2))</f>
        <v>TV</v>
      </c>
      <c r="TW1" s="9" t="str" cm="1">
        <f t="array" ref="TW1">LettreColonne(COLUMN(TW2))</f>
        <v>TW</v>
      </c>
      <c r="TX1" s="9" t="str" cm="1">
        <f t="array" ref="TX1">LettreColonne(COLUMN(TX2))</f>
        <v>TX</v>
      </c>
      <c r="TY1" s="9" t="str" cm="1">
        <f t="array" ref="TY1">LettreColonne(COLUMN(TY2))</f>
        <v>TY</v>
      </c>
      <c r="TZ1" s="9" t="str" cm="1">
        <f t="array" ref="TZ1">LettreColonne(COLUMN(TZ2))</f>
        <v>TZ</v>
      </c>
      <c r="UA1" s="9" t="str" cm="1">
        <f t="array" ref="UA1">LettreColonne(COLUMN(UA2))</f>
        <v>UA</v>
      </c>
      <c r="UB1" s="9" t="str" cm="1">
        <f t="array" ref="UB1">LettreColonne(COLUMN(UB2))</f>
        <v>UB</v>
      </c>
      <c r="UC1" s="9" t="str" cm="1">
        <f t="array" ref="UC1">LettreColonne(COLUMN(UC2))</f>
        <v>UC</v>
      </c>
      <c r="UD1" s="9" t="str" cm="1">
        <f t="array" ref="UD1">LettreColonne(COLUMN(UD2))</f>
        <v>UD</v>
      </c>
      <c r="UE1" s="9" t="str" cm="1">
        <f t="array" ref="UE1">LettreColonne(COLUMN(UE2))</f>
        <v>UE</v>
      </c>
      <c r="UF1" s="9" t="str" cm="1">
        <f t="array" ref="UF1">LettreColonne(COLUMN(UF2))</f>
        <v>UF</v>
      </c>
      <c r="UG1" s="9" t="str" cm="1">
        <f t="array" ref="UG1">LettreColonne(COLUMN(UG2))</f>
        <v>UG</v>
      </c>
      <c r="UH1" s="9" t="str" cm="1">
        <f t="array" ref="UH1">LettreColonne(COLUMN(UH2))</f>
        <v>UH</v>
      </c>
      <c r="UI1" s="9" t="str" cm="1">
        <f t="array" ref="UI1">LettreColonne(COLUMN(UI2))</f>
        <v>UI</v>
      </c>
      <c r="UJ1" s="9" t="str" cm="1">
        <f t="array" ref="UJ1">LettreColonne(COLUMN(UJ2))</f>
        <v>UJ</v>
      </c>
      <c r="UK1" s="9" t="str" cm="1">
        <f t="array" ref="UK1">LettreColonne(COLUMN(UK2))</f>
        <v>UK</v>
      </c>
      <c r="UL1" s="9" t="str" cm="1">
        <f t="array" ref="UL1">LettreColonne(COLUMN(UL2))</f>
        <v>UL</v>
      </c>
      <c r="UM1" s="9" t="str" cm="1">
        <f t="array" ref="UM1">LettreColonne(COLUMN(UM2))</f>
        <v>UM</v>
      </c>
      <c r="UN1" s="9" t="str" cm="1">
        <f t="array" ref="UN1">LettreColonne(COLUMN(UN2))</f>
        <v>UN</v>
      </c>
      <c r="UO1" s="9" t="str" cm="1">
        <f t="array" ref="UO1">LettreColonne(COLUMN(UO2))</f>
        <v>UO</v>
      </c>
      <c r="UP1" s="9" t="str" cm="1">
        <f t="array" ref="UP1">LettreColonne(COLUMN(UP2))</f>
        <v>UP</v>
      </c>
      <c r="UQ1" s="9" t="str" cm="1">
        <f t="array" ref="UQ1">LettreColonne(COLUMN(UQ2))</f>
        <v>UQ</v>
      </c>
      <c r="UR1" s="9" t="str" cm="1">
        <f t="array" ref="UR1">LettreColonne(COLUMN(UR2))</f>
        <v>UR</v>
      </c>
      <c r="US1" s="9" t="str" cm="1">
        <f t="array" ref="US1">LettreColonne(COLUMN(US2))</f>
        <v>US</v>
      </c>
      <c r="UT1" s="9" t="str" cm="1">
        <f t="array" ref="UT1">LettreColonne(COLUMN(UT2))</f>
        <v>UT</v>
      </c>
      <c r="UU1" s="9" t="str" cm="1">
        <f t="array" ref="UU1">LettreColonne(COLUMN(UU2))</f>
        <v>UU</v>
      </c>
      <c r="UV1" s="9" t="str" cm="1">
        <f t="array" ref="UV1">LettreColonne(COLUMN(UV2))</f>
        <v>UV</v>
      </c>
      <c r="UW1" s="9" t="str" cm="1">
        <f t="array" ref="UW1">LettreColonne(COLUMN(UW2))</f>
        <v>UW</v>
      </c>
      <c r="UX1" s="9" t="str" cm="1">
        <f t="array" ref="UX1">LettreColonne(COLUMN(UX2))</f>
        <v>UX</v>
      </c>
      <c r="UY1" s="9" t="str" cm="1">
        <f t="array" ref="UY1">LettreColonne(COLUMN(UY2))</f>
        <v>UY</v>
      </c>
      <c r="UZ1" s="9" t="str" cm="1">
        <f t="array" ref="UZ1">LettreColonne(COLUMN(UZ2))</f>
        <v>UZ</v>
      </c>
      <c r="VA1" s="9" t="str" cm="1">
        <f t="array" ref="VA1">LettreColonne(COLUMN(VA2))</f>
        <v>VA</v>
      </c>
      <c r="VB1" s="9" t="str" cm="1">
        <f t="array" ref="VB1">LettreColonne(COLUMN(VB2))</f>
        <v>VB</v>
      </c>
      <c r="VC1" s="9" t="str" cm="1">
        <f t="array" ref="VC1">LettreColonne(COLUMN(VC2))</f>
        <v>VC</v>
      </c>
      <c r="VD1" s="9" t="str" cm="1">
        <f t="array" ref="VD1">LettreColonne(COLUMN(VD2))</f>
        <v>VD</v>
      </c>
      <c r="VE1" s="9" t="str" cm="1">
        <f t="array" ref="VE1">LettreColonne(COLUMN(VE2))</f>
        <v>VE</v>
      </c>
      <c r="VF1" s="9" t="str" cm="1">
        <f t="array" ref="VF1">LettreColonne(COLUMN(VF2))</f>
        <v>VF</v>
      </c>
      <c r="VG1" s="9" t="str" cm="1">
        <f t="array" ref="VG1">LettreColonne(COLUMN(VG2))</f>
        <v>VG</v>
      </c>
      <c r="VH1" s="9" t="str" cm="1">
        <f t="array" ref="VH1">LettreColonne(COLUMN(VH2))</f>
        <v>VH</v>
      </c>
      <c r="VI1" s="9" t="str" cm="1">
        <f t="array" ref="VI1">LettreColonne(COLUMN(VI2))</f>
        <v>VI</v>
      </c>
      <c r="VJ1" s="9" t="str" cm="1">
        <f t="array" ref="VJ1">LettreColonne(COLUMN(VJ2))</f>
        <v>VJ</v>
      </c>
      <c r="VK1" s="9" t="str" cm="1">
        <f t="array" ref="VK1">LettreColonne(COLUMN(VK2))</f>
        <v>VK</v>
      </c>
      <c r="VL1" s="9" t="str" cm="1">
        <f t="array" ref="VL1">LettreColonne(COLUMN(VL2))</f>
        <v>VL</v>
      </c>
      <c r="VM1" s="9" t="str" cm="1">
        <f t="array" ref="VM1">LettreColonne(COLUMN(VM2))</f>
        <v>VM</v>
      </c>
      <c r="VN1" s="9" t="str" cm="1">
        <f t="array" ref="VN1">LettreColonne(COLUMN(VN2))</f>
        <v>VN</v>
      </c>
      <c r="VO1" s="9" t="str" cm="1">
        <f t="array" ref="VO1">LettreColonne(COLUMN(VO2))</f>
        <v>VO</v>
      </c>
      <c r="VP1" s="9" t="str" cm="1">
        <f t="array" ref="VP1">LettreColonne(COLUMN(VP2))</f>
        <v>VP</v>
      </c>
      <c r="VQ1" s="9" t="str" cm="1">
        <f t="array" ref="VQ1">LettreColonne(COLUMN(VQ2))</f>
        <v>VQ</v>
      </c>
      <c r="VR1" s="9" t="str" cm="1">
        <f t="array" ref="VR1">LettreColonne(COLUMN(VR2))</f>
        <v>VR</v>
      </c>
      <c r="VS1" s="9" t="str" cm="1">
        <f t="array" ref="VS1">LettreColonne(COLUMN(VS2))</f>
        <v>VS</v>
      </c>
      <c r="VT1" s="9" t="str" cm="1">
        <f t="array" ref="VT1">LettreColonne(COLUMN(VT2))</f>
        <v>VT</v>
      </c>
      <c r="VU1" s="9" t="str" cm="1">
        <f t="array" ref="VU1">LettreColonne(COLUMN(VU2))</f>
        <v>VU</v>
      </c>
      <c r="VV1" s="9" t="str" cm="1">
        <f t="array" ref="VV1">LettreColonne(COLUMN(VV2))</f>
        <v>VV</v>
      </c>
      <c r="VW1" s="9" t="str" cm="1">
        <f t="array" ref="VW1">LettreColonne(COLUMN(VW2))</f>
        <v>VW</v>
      </c>
      <c r="VX1" s="9" t="str" cm="1">
        <f t="array" ref="VX1">LettreColonne(COLUMN(VX2))</f>
        <v>VX</v>
      </c>
      <c r="VY1" s="9" t="str" cm="1">
        <f t="array" ref="VY1">LettreColonne(COLUMN(VY2))</f>
        <v>VY</v>
      </c>
      <c r="VZ1" s="9" t="str" cm="1">
        <f t="array" ref="VZ1">LettreColonne(COLUMN(VZ2))</f>
        <v>VZ</v>
      </c>
      <c r="WA1" s="9" t="str" cm="1">
        <f t="array" ref="WA1">LettreColonne(COLUMN(WA2))</f>
        <v>WA</v>
      </c>
      <c r="WB1" s="9" t="str" cm="1">
        <f t="array" ref="WB1">LettreColonne(COLUMN(WB2))</f>
        <v>WB</v>
      </c>
      <c r="WC1" s="9" t="str" cm="1">
        <f t="array" ref="WC1">LettreColonne(COLUMN(WC2))</f>
        <v>WC</v>
      </c>
      <c r="WD1" s="9" t="str" cm="1">
        <f t="array" ref="WD1">LettreColonne(COLUMN(WD2))</f>
        <v>WD</v>
      </c>
      <c r="WE1" s="9" t="str" cm="1">
        <f t="array" ref="WE1">LettreColonne(COLUMN(WE2))</f>
        <v>WE</v>
      </c>
      <c r="WF1" s="9" t="str" cm="1">
        <f t="array" ref="WF1">LettreColonne(COLUMN(WF2))</f>
        <v>WF</v>
      </c>
      <c r="WG1" s="9" t="str" cm="1">
        <f t="array" ref="WG1">LettreColonne(COLUMN(WG2))</f>
        <v>WG</v>
      </c>
      <c r="WH1" s="9" t="str" cm="1">
        <f t="array" ref="WH1">LettreColonne(COLUMN(WH2))</f>
        <v>WH</v>
      </c>
      <c r="WI1" s="9" t="str" cm="1">
        <f t="array" ref="WI1">LettreColonne(COLUMN(WI2))</f>
        <v>WI</v>
      </c>
      <c r="WJ1" s="9" t="str" cm="1">
        <f t="array" ref="WJ1">LettreColonne(COLUMN(WJ2))</f>
        <v>WJ</v>
      </c>
      <c r="WK1" s="9" t="str" cm="1">
        <f t="array" ref="WK1">LettreColonne(COLUMN(WK2))</f>
        <v>WK</v>
      </c>
      <c r="WL1" s="9" t="str" cm="1">
        <f t="array" ref="WL1">LettreColonne(COLUMN(WL2))</f>
        <v>WL</v>
      </c>
      <c r="WM1" s="9" t="str" cm="1">
        <f t="array" ref="WM1">LettreColonne(COLUMN(WM2))</f>
        <v>WM</v>
      </c>
      <c r="WN1" s="9" t="str" cm="1">
        <f t="array" ref="WN1">LettreColonne(COLUMN(WN2))</f>
        <v>WN</v>
      </c>
      <c r="WO1" s="9" t="str" cm="1">
        <f t="array" ref="WO1">LettreColonne(COLUMN(WO2))</f>
        <v>WO</v>
      </c>
      <c r="WP1" s="9" t="str" cm="1">
        <f t="array" ref="WP1">LettreColonne(COLUMN(WP2))</f>
        <v>WP</v>
      </c>
      <c r="WQ1" s="9" t="str" cm="1">
        <f t="array" ref="WQ1">LettreColonne(COLUMN(WQ2))</f>
        <v>WQ</v>
      </c>
      <c r="WR1" s="9" t="str" cm="1">
        <f t="array" ref="WR1">LettreColonne(COLUMN(WR2))</f>
        <v>WR</v>
      </c>
      <c r="WS1" s="9" t="str" cm="1">
        <f t="array" ref="WS1">LettreColonne(COLUMN(WS2))</f>
        <v>WS</v>
      </c>
      <c r="WT1" s="9" t="str" cm="1">
        <f t="array" ref="WT1">LettreColonne(COLUMN(WT2))</f>
        <v>WT</v>
      </c>
      <c r="WU1" s="9" t="str" cm="1">
        <f t="array" ref="WU1">LettreColonne(COLUMN(WU2))</f>
        <v>WU</v>
      </c>
      <c r="WV1" s="9" t="str" cm="1">
        <f t="array" ref="WV1">LettreColonne(COLUMN(WV2))</f>
        <v>WV</v>
      </c>
      <c r="WW1" s="9" t="str" cm="1">
        <f t="array" ref="WW1">LettreColonne(COLUMN(WW2))</f>
        <v>WW</v>
      </c>
      <c r="WX1" s="9" t="str" cm="1">
        <f t="array" ref="WX1">LettreColonne(COLUMN(WX2))</f>
        <v>WX</v>
      </c>
      <c r="WY1" s="9" t="str" cm="1">
        <f t="array" ref="WY1">LettreColonne(COLUMN(WY2))</f>
        <v>WY</v>
      </c>
      <c r="WZ1" s="9" t="str" cm="1">
        <f t="array" ref="WZ1">LettreColonne(COLUMN(WZ2))</f>
        <v>WZ</v>
      </c>
      <c r="XA1" s="9" t="str" cm="1">
        <f t="array" ref="XA1">LettreColonne(COLUMN(XA2))</f>
        <v>XA</v>
      </c>
      <c r="XB1" s="9" t="str" cm="1">
        <f t="array" ref="XB1">LettreColonne(COLUMN(XB2))</f>
        <v>XB</v>
      </c>
      <c r="XC1" s="9" t="str" cm="1">
        <f t="array" ref="XC1">LettreColonne(COLUMN(XC2))</f>
        <v>XC</v>
      </c>
      <c r="XD1" s="9" t="str" cm="1">
        <f t="array" ref="XD1">LettreColonne(COLUMN(XD2))</f>
        <v>XD</v>
      </c>
      <c r="XE1" s="9" t="str" cm="1">
        <f t="array" ref="XE1">LettreColonne(COLUMN(XE2))</f>
        <v>XE</v>
      </c>
      <c r="XF1" s="9" t="str" cm="1">
        <f t="array" ref="XF1">LettreColonne(COLUMN(XF2))</f>
        <v>XF</v>
      </c>
      <c r="XG1" s="9" t="str" cm="1">
        <f t="array" ref="XG1">LettreColonne(COLUMN(XG2))</f>
        <v>XG</v>
      </c>
      <c r="XH1" s="9" t="str" cm="1">
        <f t="array" ref="XH1">LettreColonne(COLUMN(XH2))</f>
        <v>XH</v>
      </c>
      <c r="XI1" s="9" t="str" cm="1">
        <f t="array" ref="XI1">LettreColonne(COLUMN(XI2))</f>
        <v>XI</v>
      </c>
      <c r="XJ1" s="9" t="str" cm="1">
        <f t="array" ref="XJ1">LettreColonne(COLUMN(XJ2))</f>
        <v>XJ</v>
      </c>
      <c r="XK1" s="9" t="str" cm="1">
        <f t="array" ref="XK1">LettreColonne(COLUMN(XK2))</f>
        <v>XK</v>
      </c>
      <c r="XL1" s="9" t="str" cm="1">
        <f t="array" ref="XL1">LettreColonne(COLUMN(XL2))</f>
        <v>XL</v>
      </c>
      <c r="XM1" s="9" t="str" cm="1">
        <f t="array" ref="XM1">LettreColonne(COLUMN(XM2))</f>
        <v>XM</v>
      </c>
      <c r="XN1" s="9" t="str" cm="1">
        <f t="array" ref="XN1">LettreColonne(COLUMN(XN2))</f>
        <v>XN</v>
      </c>
      <c r="XO1" s="9" t="str" cm="1">
        <f t="array" ref="XO1">LettreColonne(COLUMN(XO2))</f>
        <v>XO</v>
      </c>
      <c r="XP1" s="9" t="str" cm="1">
        <f t="array" ref="XP1">LettreColonne(COLUMN(XP2))</f>
        <v>XP</v>
      </c>
      <c r="XQ1" s="9" t="str" cm="1">
        <f t="array" ref="XQ1">LettreColonne(COLUMN(XQ2))</f>
        <v>XQ</v>
      </c>
      <c r="XR1" s="9" t="str" cm="1">
        <f t="array" ref="XR1">LettreColonne(COLUMN(XR2))</f>
        <v>XR</v>
      </c>
      <c r="XS1" s="9" t="str" cm="1">
        <f t="array" ref="XS1">LettreColonne(COLUMN(XS2))</f>
        <v>XS</v>
      </c>
      <c r="XT1" s="9" t="str" cm="1">
        <f t="array" ref="XT1">LettreColonne(COLUMN(XT2))</f>
        <v>XT</v>
      </c>
      <c r="XU1" s="9" t="str" cm="1">
        <f t="array" ref="XU1">LettreColonne(COLUMN(XU2))</f>
        <v>XU</v>
      </c>
      <c r="XV1" s="9" t="str" cm="1">
        <f t="array" ref="XV1">LettreColonne(COLUMN(XV2))</f>
        <v>XV</v>
      </c>
      <c r="XW1" s="9" t="str" cm="1">
        <f t="array" ref="XW1">LettreColonne(COLUMN(XW2))</f>
        <v>XW</v>
      </c>
      <c r="XX1" s="9" t="str" cm="1">
        <f t="array" ref="XX1">LettreColonne(COLUMN(XX2))</f>
        <v>XX</v>
      </c>
      <c r="XY1" s="9" t="str" cm="1">
        <f t="array" ref="XY1">LettreColonne(COLUMN(XY2))</f>
        <v>XY</v>
      </c>
      <c r="XZ1" s="9" t="str" cm="1">
        <f t="array" ref="XZ1">LettreColonne(COLUMN(XZ2))</f>
        <v>XZ</v>
      </c>
      <c r="YA1" s="9" t="str" cm="1">
        <f t="array" ref="YA1">LettreColonne(COLUMN(YA2))</f>
        <v>YA</v>
      </c>
      <c r="YB1" s="9" t="str" cm="1">
        <f t="array" ref="YB1">LettreColonne(COLUMN(YB2))</f>
        <v>YB</v>
      </c>
      <c r="YC1" s="9" t="str" cm="1">
        <f t="array" ref="YC1">LettreColonne(COLUMN(YC2))</f>
        <v>YC</v>
      </c>
      <c r="YD1" s="9" t="str" cm="1">
        <f t="array" ref="YD1">LettreColonne(COLUMN(YD2))</f>
        <v>YD</v>
      </c>
      <c r="YE1" s="9" t="str" cm="1">
        <f t="array" ref="YE1">LettreColonne(COLUMN(YE2))</f>
        <v>YE</v>
      </c>
      <c r="YF1" s="9" t="str" cm="1">
        <f t="array" ref="YF1">LettreColonne(COLUMN(YF2))</f>
        <v>YF</v>
      </c>
      <c r="YG1" s="9" t="str" cm="1">
        <f t="array" ref="YG1">LettreColonne(COLUMN(YG2))</f>
        <v>YG</v>
      </c>
      <c r="YH1" s="9" t="str" cm="1">
        <f t="array" ref="YH1">LettreColonne(COLUMN(YH2))</f>
        <v>YH</v>
      </c>
      <c r="YI1" s="9" t="str" cm="1">
        <f t="array" ref="YI1">LettreColonne(COLUMN(YI2))</f>
        <v>YI</v>
      </c>
      <c r="YJ1" s="9" t="str" cm="1">
        <f t="array" ref="YJ1">LettreColonne(COLUMN(YJ2))</f>
        <v>YJ</v>
      </c>
      <c r="YK1" s="9" t="str" cm="1">
        <f t="array" ref="YK1">LettreColonne(COLUMN(YK2))</f>
        <v>YK</v>
      </c>
      <c r="YL1" s="9" t="str" cm="1">
        <f t="array" ref="YL1">LettreColonne(COLUMN(YL2))</f>
        <v>YL</v>
      </c>
      <c r="YM1" s="9" t="str" cm="1">
        <f t="array" ref="YM1">LettreColonne(COLUMN(YM2))</f>
        <v>YM</v>
      </c>
      <c r="YN1" s="9" t="str" cm="1">
        <f t="array" ref="YN1">LettreColonne(COLUMN(YN2))</f>
        <v>YN</v>
      </c>
      <c r="YO1" s="9" t="str" cm="1">
        <f t="array" ref="YO1">LettreColonne(COLUMN(YO2))</f>
        <v>YO</v>
      </c>
      <c r="YP1" s="9" t="str" cm="1">
        <f t="array" ref="YP1">LettreColonne(COLUMN(YP2))</f>
        <v>YP</v>
      </c>
      <c r="YQ1" s="9" t="str" cm="1">
        <f t="array" ref="YQ1">LettreColonne(COLUMN(YQ2))</f>
        <v>YQ</v>
      </c>
      <c r="YR1" s="9" t="str" cm="1">
        <f t="array" ref="YR1">LettreColonne(COLUMN(YR2))</f>
        <v>YR</v>
      </c>
      <c r="YS1" s="9" t="str" cm="1">
        <f t="array" ref="YS1">LettreColonne(COLUMN(YS2))</f>
        <v>YS</v>
      </c>
      <c r="YT1" s="9" t="str" cm="1">
        <f t="array" ref="YT1">LettreColonne(COLUMN(YT2))</f>
        <v>YT</v>
      </c>
      <c r="YU1" s="9" t="str" cm="1">
        <f t="array" ref="YU1">LettreColonne(COLUMN(YU2))</f>
        <v>YU</v>
      </c>
      <c r="YV1" s="9" t="str" cm="1">
        <f t="array" ref="YV1">LettreColonne(COLUMN(YV2))</f>
        <v>YV</v>
      </c>
      <c r="YW1" s="9" t="str" cm="1">
        <f t="array" ref="YW1">LettreColonne(COLUMN(YW2))</f>
        <v>YW</v>
      </c>
      <c r="YX1" s="9" t="str" cm="1">
        <f t="array" ref="YX1">LettreColonne(COLUMN(YX2))</f>
        <v>YX</v>
      </c>
      <c r="YY1" s="9" t="str" cm="1">
        <f t="array" ref="YY1">LettreColonne(COLUMN(YY2))</f>
        <v>YY</v>
      </c>
      <c r="YZ1" s="9" t="str" cm="1">
        <f t="array" ref="YZ1">LettreColonne(COLUMN(YZ2))</f>
        <v>YZ</v>
      </c>
      <c r="ZA1" s="9" t="str" cm="1">
        <f t="array" ref="ZA1">LettreColonne(COLUMN(ZA2))</f>
        <v>ZA</v>
      </c>
      <c r="ZB1" s="9" t="str" cm="1">
        <f t="array" ref="ZB1">LettreColonne(COLUMN(ZB2))</f>
        <v>ZB</v>
      </c>
      <c r="ZC1" s="9" t="str" cm="1">
        <f t="array" ref="ZC1">LettreColonne(COLUMN(ZC2))</f>
        <v>ZC</v>
      </c>
      <c r="ZD1" s="9" t="str" cm="1">
        <f t="array" ref="ZD1">LettreColonne(COLUMN(ZD2))</f>
        <v>ZD</v>
      </c>
      <c r="ZE1" s="9" t="str" cm="1">
        <f t="array" ref="ZE1">LettreColonne(COLUMN(ZE2))</f>
        <v>ZE</v>
      </c>
      <c r="ZF1" s="9" t="str" cm="1">
        <f t="array" ref="ZF1">LettreColonne(COLUMN(ZF2))</f>
        <v>ZF</v>
      </c>
      <c r="ZG1" s="9" t="str" cm="1">
        <f t="array" ref="ZG1">LettreColonne(COLUMN(ZG2))</f>
        <v>ZG</v>
      </c>
      <c r="ZH1" s="9" t="str" cm="1">
        <f t="array" ref="ZH1">LettreColonne(COLUMN(ZH2))</f>
        <v>ZH</v>
      </c>
      <c r="ZI1" s="9" t="str" cm="1">
        <f t="array" ref="ZI1">LettreColonne(COLUMN(ZI2))</f>
        <v>ZI</v>
      </c>
      <c r="ZJ1" s="9" t="str" cm="1">
        <f t="array" ref="ZJ1">LettreColonne(COLUMN(ZJ2))</f>
        <v>ZJ</v>
      </c>
      <c r="ZK1" s="9" t="str" cm="1">
        <f t="array" ref="ZK1">LettreColonne(COLUMN(ZK2))</f>
        <v>ZK</v>
      </c>
      <c r="ZL1" s="9" t="str" cm="1">
        <f t="array" ref="ZL1">LettreColonne(COLUMN(ZL2))</f>
        <v>ZL</v>
      </c>
      <c r="ZM1" s="9" t="str" cm="1">
        <f t="array" ref="ZM1">LettreColonne(COLUMN(ZM2))</f>
        <v>ZM</v>
      </c>
      <c r="ZN1" s="9" t="str" cm="1">
        <f t="array" ref="ZN1">LettreColonne(COLUMN(ZN2))</f>
        <v>ZN</v>
      </c>
      <c r="ZO1" s="9" t="str" cm="1">
        <f t="array" ref="ZO1">LettreColonne(COLUMN(ZO2))</f>
        <v>ZO</v>
      </c>
      <c r="ZP1" s="9" t="str" cm="1">
        <f t="array" ref="ZP1">LettreColonne(COLUMN(ZP2))</f>
        <v>ZP</v>
      </c>
      <c r="ZQ1" s="9" t="str" cm="1">
        <f t="array" ref="ZQ1">LettreColonne(COLUMN(ZQ2))</f>
        <v>ZQ</v>
      </c>
      <c r="ZR1" s="9" t="str" cm="1">
        <f t="array" ref="ZR1">LettreColonne(COLUMN(ZR2))</f>
        <v>ZR</v>
      </c>
      <c r="ZS1" s="9" t="str" cm="1">
        <f t="array" ref="ZS1">LettreColonne(COLUMN(ZS2))</f>
        <v>ZS</v>
      </c>
      <c r="ZT1" s="9" t="str" cm="1">
        <f t="array" ref="ZT1">LettreColonne(COLUMN(ZT2))</f>
        <v>ZT</v>
      </c>
      <c r="ZU1" s="9" t="str" cm="1">
        <f t="array" ref="ZU1">LettreColonne(COLUMN(ZU2))</f>
        <v>ZU</v>
      </c>
      <c r="ZV1" s="9" t="str" cm="1">
        <f t="array" ref="ZV1">LettreColonne(COLUMN(ZV2))</f>
        <v>ZV</v>
      </c>
      <c r="ZW1" s="9" t="str" cm="1">
        <f t="array" ref="ZW1">LettreColonne(COLUMN(ZW2))</f>
        <v>ZW</v>
      </c>
      <c r="ZX1" s="9" t="str" cm="1">
        <f t="array" ref="ZX1">LettreColonne(COLUMN(ZX2))</f>
        <v>ZX</v>
      </c>
      <c r="ZY1" s="9" t="str" cm="1">
        <f t="array" ref="ZY1">LettreColonne(COLUMN(ZY2))</f>
        <v>ZY</v>
      </c>
      <c r="ZZ1" s="9" t="str" cm="1">
        <f t="array" ref="ZZ1">LettreColonne(COLUMN(ZZ2))</f>
        <v>ZZ</v>
      </c>
      <c r="AAA1" s="9" t="str" cm="1">
        <f t="array" ref="AAA1">LettreColonne(COLUMN(AAA2))</f>
        <v>AAA</v>
      </c>
      <c r="AAB1" s="9" t="str" cm="1">
        <f t="array" ref="AAB1">LettreColonne(COLUMN(AAB2))</f>
        <v>AAB</v>
      </c>
      <c r="AAC1" s="9" t="str" cm="1">
        <f t="array" ref="AAC1">LettreColonne(COLUMN(AAC2))</f>
        <v>AAC</v>
      </c>
      <c r="AAD1" s="9" t="str" cm="1">
        <f t="array" ref="AAD1">LettreColonne(COLUMN(AAD2))</f>
        <v>AAD</v>
      </c>
      <c r="AAE1" s="9" t="str" cm="1">
        <f t="array" ref="AAE1">LettreColonne(COLUMN(AAE2))</f>
        <v>AAE</v>
      </c>
      <c r="AAF1" s="9" t="str" cm="1">
        <f t="array" ref="AAF1">LettreColonne(COLUMN(AAF2))</f>
        <v>AAF</v>
      </c>
      <c r="AAG1" s="9" t="str" cm="1">
        <f t="array" ref="AAG1">LettreColonne(COLUMN(AAG2))</f>
        <v>AAG</v>
      </c>
      <c r="AAH1" s="9" t="str" cm="1">
        <f t="array" ref="AAH1">LettreColonne(COLUMN(AAH2))</f>
        <v>AAH</v>
      </c>
      <c r="AAI1" s="9" t="str" cm="1">
        <f t="array" ref="AAI1">LettreColonne(COLUMN(AAI2))</f>
        <v>AAI</v>
      </c>
      <c r="AAJ1" s="9" t="str" cm="1">
        <f t="array" ref="AAJ1">LettreColonne(COLUMN(AAJ2))</f>
        <v>AAJ</v>
      </c>
      <c r="AAK1" s="9" t="str" cm="1">
        <f t="array" ref="AAK1">LettreColonne(COLUMN(AAK2))</f>
        <v>AAK</v>
      </c>
      <c r="AAL1" s="9" t="str" cm="1">
        <f t="array" ref="AAL1">LettreColonne(COLUMN(AAL2))</f>
        <v>AAL</v>
      </c>
      <c r="AAM1" s="9" t="str" cm="1">
        <f t="array" ref="AAM1">LettreColonne(COLUMN(AAM2))</f>
        <v>AAM</v>
      </c>
      <c r="AAN1" s="9" t="str" cm="1">
        <f t="array" ref="AAN1">LettreColonne(COLUMN(AAN2))</f>
        <v>AAN</v>
      </c>
      <c r="AAO1" s="9" t="str" cm="1">
        <f t="array" ref="AAO1">LettreColonne(COLUMN(AAO2))</f>
        <v>AAO</v>
      </c>
      <c r="AAP1" s="9" t="str" cm="1">
        <f t="array" ref="AAP1">LettreColonne(COLUMN(AAP2))</f>
        <v>AAP</v>
      </c>
      <c r="AAQ1" s="9" t="str" cm="1">
        <f t="array" ref="AAQ1">LettreColonne(COLUMN(AAQ2))</f>
        <v>AAQ</v>
      </c>
      <c r="AAR1" s="9" t="str" cm="1">
        <f t="array" ref="AAR1">LettreColonne(COLUMN(AAR2))</f>
        <v>AAR</v>
      </c>
      <c r="AAS1" s="9" t="str" cm="1">
        <f t="array" ref="AAS1">LettreColonne(COLUMN(AAS2))</f>
        <v>AAS</v>
      </c>
      <c r="AAT1" s="9" t="str" cm="1">
        <f t="array" ref="AAT1">LettreColonne(COLUMN(AAT2))</f>
        <v>AAT</v>
      </c>
      <c r="AAU1" s="9" t="str" cm="1">
        <f t="array" ref="AAU1">LettreColonne(COLUMN(AAU2))</f>
        <v>AAU</v>
      </c>
      <c r="AAV1" s="9" t="str" cm="1">
        <f t="array" ref="AAV1">LettreColonne(COLUMN(AAV2))</f>
        <v>AAV</v>
      </c>
      <c r="AAW1" s="9" t="str" cm="1">
        <f t="array" ref="AAW1">LettreColonne(COLUMN(AAW2))</f>
        <v>AAW</v>
      </c>
      <c r="AAX1" s="9" t="str" cm="1">
        <f t="array" ref="AAX1">LettreColonne(COLUMN(AAX2))</f>
        <v>AAX</v>
      </c>
      <c r="AAY1" s="9" t="str" cm="1">
        <f t="array" ref="AAY1">LettreColonne(COLUMN(AAY2))</f>
        <v>AAY</v>
      </c>
      <c r="AAZ1" s="9" t="str" cm="1">
        <f t="array" ref="AAZ1">LettreColonne(COLUMN(AAZ2))</f>
        <v>AAZ</v>
      </c>
      <c r="ABA1" s="9" t="str" cm="1">
        <f t="array" ref="ABA1">LettreColonne(COLUMN(ABA2))</f>
        <v>ABA</v>
      </c>
      <c r="ABB1" s="9" t="str" cm="1">
        <f t="array" ref="ABB1">LettreColonne(COLUMN(ABB2))</f>
        <v>ABB</v>
      </c>
      <c r="ABC1" s="9" t="str" cm="1">
        <f t="array" ref="ABC1">LettreColonne(COLUMN(ABC2))</f>
        <v>ABC</v>
      </c>
      <c r="ABD1" s="9" t="str" cm="1">
        <f t="array" ref="ABD1">LettreColonne(COLUMN(ABD2))</f>
        <v>ABD</v>
      </c>
      <c r="ABE1" s="9" t="str" cm="1">
        <f t="array" ref="ABE1">LettreColonne(COLUMN(ABE2))</f>
        <v>ABE</v>
      </c>
      <c r="ABF1" s="9" t="str" cm="1">
        <f t="array" ref="ABF1">LettreColonne(COLUMN(ABF2))</f>
        <v>ABF</v>
      </c>
      <c r="ABG1" s="9" t="str" cm="1">
        <f t="array" ref="ABG1">LettreColonne(COLUMN(ABG2))</f>
        <v>ABG</v>
      </c>
      <c r="ABH1" s="9" t="str" cm="1">
        <f t="array" ref="ABH1">LettreColonne(COLUMN(ABH2))</f>
        <v>ABH</v>
      </c>
      <c r="ABI1" s="9" t="str" cm="1">
        <f t="array" ref="ABI1">LettreColonne(COLUMN(ABI2))</f>
        <v>ABI</v>
      </c>
      <c r="ABJ1" s="9" t="str" cm="1">
        <f t="array" ref="ABJ1">LettreColonne(COLUMN(ABJ2))</f>
        <v>ABJ</v>
      </c>
      <c r="ABK1" s="9" t="str" cm="1">
        <f t="array" ref="ABK1">LettreColonne(COLUMN(ABK2))</f>
        <v>ABK</v>
      </c>
      <c r="ABL1" s="9" t="str" cm="1">
        <f t="array" ref="ABL1">LettreColonne(COLUMN(ABL2))</f>
        <v>ABL</v>
      </c>
      <c r="ABM1" s="9" t="str" cm="1">
        <f t="array" ref="ABM1">LettreColonne(COLUMN(ABM2))</f>
        <v>ABM</v>
      </c>
      <c r="ABN1" s="9" t="str" cm="1">
        <f t="array" ref="ABN1">LettreColonne(COLUMN(ABN2))</f>
        <v>ABN</v>
      </c>
      <c r="ABO1" s="9" t="str" cm="1">
        <f t="array" ref="ABO1">LettreColonne(COLUMN(ABO2))</f>
        <v>ABO</v>
      </c>
      <c r="ABP1" s="9" t="str" cm="1">
        <f t="array" ref="ABP1">LettreColonne(COLUMN(ABP2))</f>
        <v>ABP</v>
      </c>
      <c r="ABQ1" s="9" t="str" cm="1">
        <f t="array" ref="ABQ1">LettreColonne(COLUMN(ABQ2))</f>
        <v>ABQ</v>
      </c>
      <c r="ABR1" s="9" t="str" cm="1">
        <f t="array" ref="ABR1">LettreColonne(COLUMN(ABR2))</f>
        <v>ABR</v>
      </c>
      <c r="ABS1" s="9" t="str" cm="1">
        <f t="array" ref="ABS1">LettreColonne(COLUMN(ABS2))</f>
        <v>ABS</v>
      </c>
      <c r="ABT1" s="9" t="str" cm="1">
        <f t="array" ref="ABT1">LettreColonne(COLUMN(ABT2))</f>
        <v>ABT</v>
      </c>
      <c r="ABU1" s="9" t="str" cm="1">
        <f t="array" ref="ABU1">LettreColonne(COLUMN(ABU2))</f>
        <v>ABU</v>
      </c>
      <c r="ABV1" s="9" t="str" cm="1">
        <f t="array" ref="ABV1">LettreColonne(COLUMN(ABV2))</f>
        <v>ABV</v>
      </c>
      <c r="ABW1" s="9" t="str" cm="1">
        <f t="array" ref="ABW1">LettreColonne(COLUMN(ABW2))</f>
        <v>ABW</v>
      </c>
      <c r="ABX1" s="9" t="str" cm="1">
        <f t="array" ref="ABX1">LettreColonne(COLUMN(ABX2))</f>
        <v>ABX</v>
      </c>
      <c r="ABY1" s="9" t="str" cm="1">
        <f t="array" ref="ABY1">LettreColonne(COLUMN(ABY2))</f>
        <v>ABY</v>
      </c>
      <c r="ABZ1" s="9" t="str" cm="1">
        <f t="array" ref="ABZ1">LettreColonne(COLUMN(ABZ2))</f>
        <v>ABZ</v>
      </c>
      <c r="ACA1" s="9" t="str" cm="1">
        <f t="array" ref="ACA1">LettreColonne(COLUMN(ACA2))</f>
        <v>ACA</v>
      </c>
      <c r="ACB1" s="9" t="str" cm="1">
        <f t="array" ref="ACB1">LettreColonne(COLUMN(ACB2))</f>
        <v>ACB</v>
      </c>
      <c r="ACC1" s="9" t="str" cm="1">
        <f t="array" ref="ACC1">LettreColonne(COLUMN(ACC2))</f>
        <v>ACC</v>
      </c>
      <c r="ACD1" s="9" t="str" cm="1">
        <f t="array" ref="ACD1">LettreColonne(COLUMN(ACD2))</f>
        <v>ACD</v>
      </c>
      <c r="ACE1" s="9" t="str" cm="1">
        <f t="array" ref="ACE1">LettreColonne(COLUMN(ACE2))</f>
        <v>ACE</v>
      </c>
      <c r="ACF1" s="9" t="str" cm="1">
        <f t="array" ref="ACF1">LettreColonne(COLUMN(ACF2))</f>
        <v>ACF</v>
      </c>
      <c r="ACG1" s="9" t="str" cm="1">
        <f t="array" ref="ACG1">LettreColonne(COLUMN(ACG2))</f>
        <v>ACG</v>
      </c>
      <c r="ACH1" s="9" t="str" cm="1">
        <f t="array" ref="ACH1">LettreColonne(COLUMN(ACH2))</f>
        <v>ACH</v>
      </c>
      <c r="ACI1" s="9" t="str" cm="1">
        <f t="array" ref="ACI1">LettreColonne(COLUMN(ACI2))</f>
        <v>ACI</v>
      </c>
      <c r="ACJ1" s="9" t="str" cm="1">
        <f t="array" ref="ACJ1">LettreColonne(COLUMN(ACJ2))</f>
        <v>ACJ</v>
      </c>
      <c r="ACK1" s="9" t="str" cm="1">
        <f t="array" ref="ACK1">LettreColonne(COLUMN(ACK2))</f>
        <v>ACK</v>
      </c>
      <c r="ACL1" s="9" t="str" cm="1">
        <f t="array" ref="ACL1">LettreColonne(COLUMN(ACL2))</f>
        <v>ACL</v>
      </c>
      <c r="ACM1" s="9" t="str" cm="1">
        <f t="array" ref="ACM1">LettreColonne(COLUMN(ACM2))</f>
        <v>ACM</v>
      </c>
      <c r="ACN1" s="9" t="str" cm="1">
        <f t="array" ref="ACN1">LettreColonne(COLUMN(ACN2))</f>
        <v>ACN</v>
      </c>
      <c r="ACO1" s="9" t="str" cm="1">
        <f t="array" ref="ACO1">LettreColonne(COLUMN(ACO2))</f>
        <v>ACO</v>
      </c>
      <c r="ACP1" s="9" t="str" cm="1">
        <f t="array" ref="ACP1">LettreColonne(COLUMN(ACP2))</f>
        <v>ACP</v>
      </c>
      <c r="ACQ1" s="9" t="str" cm="1">
        <f t="array" ref="ACQ1">LettreColonne(COLUMN(ACQ2))</f>
        <v>ACQ</v>
      </c>
      <c r="ACR1" s="9" t="str" cm="1">
        <f t="array" ref="ACR1">LettreColonne(COLUMN(ACR2))</f>
        <v>ACR</v>
      </c>
      <c r="ACS1" s="9" t="str" cm="1">
        <f t="array" ref="ACS1">LettreColonne(COLUMN(ACS2))</f>
        <v>ACS</v>
      </c>
      <c r="ACT1" s="9" t="str" cm="1">
        <f t="array" ref="ACT1">LettreColonne(COLUMN(ACT2))</f>
        <v>ACT</v>
      </c>
      <c r="ACU1" s="9" t="str" cm="1">
        <f t="array" ref="ACU1">LettreColonne(COLUMN(ACU2))</f>
        <v>ACU</v>
      </c>
      <c r="ACV1" s="9" t="str" cm="1">
        <f t="array" ref="ACV1">LettreColonne(COLUMN(ACV2))</f>
        <v>ACV</v>
      </c>
      <c r="ACW1" s="9" t="str" cm="1">
        <f t="array" ref="ACW1">LettreColonne(COLUMN(ACW2))</f>
        <v>ACW</v>
      </c>
      <c r="ACX1" s="9" t="str" cm="1">
        <f t="array" ref="ACX1">LettreColonne(COLUMN(ACX2))</f>
        <v>ACX</v>
      </c>
      <c r="ACY1" s="9" t="str" cm="1">
        <f t="array" ref="ACY1">LettreColonne(COLUMN(ACY2))</f>
        <v>ACY</v>
      </c>
      <c r="ACZ1" s="9" t="str" cm="1">
        <f t="array" ref="ACZ1">LettreColonne(COLUMN(ACZ2))</f>
        <v>ACZ</v>
      </c>
      <c r="ADA1" s="9" t="str" cm="1">
        <f t="array" ref="ADA1">LettreColonne(COLUMN(ADA2))</f>
        <v>ADA</v>
      </c>
      <c r="ADB1" s="9" t="str" cm="1">
        <f t="array" ref="ADB1">LettreColonne(COLUMN(ADB2))</f>
        <v>ADB</v>
      </c>
      <c r="ADC1" s="9" t="str" cm="1">
        <f t="array" ref="ADC1">LettreColonne(COLUMN(ADC2))</f>
        <v>ADC</v>
      </c>
      <c r="ADD1" s="9" t="str" cm="1">
        <f t="array" ref="ADD1">LettreColonne(COLUMN(ADD2))</f>
        <v>ADD</v>
      </c>
      <c r="ADE1" s="9" t="str" cm="1">
        <f t="array" ref="ADE1">LettreColonne(COLUMN(ADE2))</f>
        <v>ADE</v>
      </c>
      <c r="ADF1" s="9" t="str" cm="1">
        <f t="array" ref="ADF1">LettreColonne(COLUMN(ADF2))</f>
        <v>ADF</v>
      </c>
      <c r="ADG1" s="9" t="str" cm="1">
        <f t="array" ref="ADG1">LettreColonne(COLUMN(ADG2))</f>
        <v>ADG</v>
      </c>
      <c r="ADH1" s="9" t="str" cm="1">
        <f t="array" ref="ADH1">LettreColonne(COLUMN(ADH2))</f>
        <v>ADH</v>
      </c>
      <c r="ADI1" s="9" t="str" cm="1">
        <f t="array" ref="ADI1">LettreColonne(COLUMN(ADI2))</f>
        <v>ADI</v>
      </c>
      <c r="ADJ1" s="9" t="str" cm="1">
        <f t="array" ref="ADJ1">LettreColonne(COLUMN(ADJ2))</f>
        <v>ADJ</v>
      </c>
      <c r="ADK1" s="9" t="str" cm="1">
        <f t="array" ref="ADK1">LettreColonne(COLUMN(ADK2))</f>
        <v>ADK</v>
      </c>
      <c r="ADL1" s="9" t="str" cm="1">
        <f t="array" ref="ADL1">LettreColonne(COLUMN(ADL2))</f>
        <v>ADL</v>
      </c>
      <c r="ADM1" s="9" t="str" cm="1">
        <f t="array" ref="ADM1">LettreColonne(COLUMN(ADM2))</f>
        <v>ADM</v>
      </c>
      <c r="ADN1" s="9" t="str" cm="1">
        <f t="array" ref="ADN1">LettreColonne(COLUMN(ADN2))</f>
        <v>ADN</v>
      </c>
      <c r="ADO1" s="9" t="str" cm="1">
        <f t="array" ref="ADO1">LettreColonne(COLUMN(ADO2))</f>
        <v>ADO</v>
      </c>
      <c r="ADP1" s="9" t="str" cm="1">
        <f t="array" ref="ADP1">LettreColonne(COLUMN(ADP2))</f>
        <v>ADP</v>
      </c>
      <c r="ADQ1" s="9" t="str" cm="1">
        <f t="array" ref="ADQ1">LettreColonne(COLUMN(ADQ2))</f>
        <v>ADQ</v>
      </c>
      <c r="ADR1" s="9" t="str" cm="1">
        <f t="array" ref="ADR1">LettreColonne(COLUMN(ADR2))</f>
        <v>ADR</v>
      </c>
      <c r="ADS1" s="9" t="str" cm="1">
        <f t="array" ref="ADS1">LettreColonne(COLUMN(ADS2))</f>
        <v>ADS</v>
      </c>
      <c r="ADT1" s="9" t="str" cm="1">
        <f t="array" ref="ADT1">LettreColonne(COLUMN(ADT2))</f>
        <v>ADT</v>
      </c>
      <c r="ADU1" s="9" t="str" cm="1">
        <f t="array" ref="ADU1">LettreColonne(COLUMN(ADU2))</f>
        <v>ADU</v>
      </c>
      <c r="ADV1" s="9" t="str" cm="1">
        <f t="array" ref="ADV1">LettreColonne(COLUMN(ADV2))</f>
        <v>ADV</v>
      </c>
      <c r="ADW1" s="9" t="str" cm="1">
        <f t="array" ref="ADW1">LettreColonne(COLUMN(ADW2))</f>
        <v>ADW</v>
      </c>
      <c r="ADX1" s="9" t="str" cm="1">
        <f t="array" ref="ADX1">LettreColonne(COLUMN(ADX2))</f>
        <v>ADX</v>
      </c>
      <c r="ADY1" s="9" t="str" cm="1">
        <f t="array" ref="ADY1">LettreColonne(COLUMN(ADY2))</f>
        <v>ADY</v>
      </c>
      <c r="ADZ1" s="9" t="str" cm="1">
        <f t="array" ref="ADZ1">LettreColonne(COLUMN(ADZ2))</f>
        <v>ADZ</v>
      </c>
      <c r="AEA1" s="9" t="str" cm="1">
        <f t="array" ref="AEA1">LettreColonne(COLUMN(AEA2))</f>
        <v>AEA</v>
      </c>
      <c r="AEB1" s="9" t="str" cm="1">
        <f t="array" ref="AEB1">LettreColonne(COLUMN(AEB2))</f>
        <v>AEB</v>
      </c>
      <c r="AEC1" s="9" t="str" cm="1">
        <f t="array" ref="AEC1">LettreColonne(COLUMN(AEC2))</f>
        <v>AEC</v>
      </c>
      <c r="AED1" s="9" t="str" cm="1">
        <f t="array" ref="AED1">LettreColonne(COLUMN(AED2))</f>
        <v>AED</v>
      </c>
      <c r="AEE1" s="9" t="str" cm="1">
        <f t="array" ref="AEE1">LettreColonne(COLUMN(AEE2))</f>
        <v>AEE</v>
      </c>
      <c r="AEF1" s="9" t="str" cm="1">
        <f t="array" ref="AEF1">LettreColonne(COLUMN(AEF2))</f>
        <v>AEF</v>
      </c>
      <c r="AEG1" s="9" t="str" cm="1">
        <f t="array" ref="AEG1">LettreColonne(COLUMN(AEG2))</f>
        <v>AEG</v>
      </c>
      <c r="AEH1" s="9" t="str" cm="1">
        <f t="array" ref="AEH1">LettreColonne(COLUMN(AEH2))</f>
        <v>AEH</v>
      </c>
      <c r="AEI1" s="9" t="str" cm="1">
        <f t="array" ref="AEI1">LettreColonne(COLUMN(AEI2))</f>
        <v>AEI</v>
      </c>
      <c r="AEJ1" s="9" t="str" cm="1">
        <f t="array" ref="AEJ1">LettreColonne(COLUMN(AEJ2))</f>
        <v>AEJ</v>
      </c>
      <c r="AEK1" s="9" t="str" cm="1">
        <f t="array" ref="AEK1">LettreColonne(COLUMN(AEK2))</f>
        <v>AEK</v>
      </c>
      <c r="AEL1" s="9" t="str" cm="1">
        <f t="array" ref="AEL1">LettreColonne(COLUMN(AEL2))</f>
        <v>AEL</v>
      </c>
      <c r="AEM1" s="9" t="str" cm="1">
        <f t="array" ref="AEM1">LettreColonne(COLUMN(AEM2))</f>
        <v>AEM</v>
      </c>
      <c r="AEN1" s="9" t="str" cm="1">
        <f t="array" ref="AEN1">LettreColonne(COLUMN(AEN2))</f>
        <v>AEN</v>
      </c>
      <c r="AEO1" s="9" t="str" cm="1">
        <f t="array" ref="AEO1">LettreColonne(COLUMN(AEO2))</f>
        <v>AEO</v>
      </c>
      <c r="AEP1" s="9" t="str" cm="1">
        <f t="array" ref="AEP1">LettreColonne(COLUMN(AEP2))</f>
        <v>AEP</v>
      </c>
      <c r="AEQ1" s="9" t="str" cm="1">
        <f t="array" ref="AEQ1">LettreColonne(COLUMN(AEQ2))</f>
        <v>AEQ</v>
      </c>
      <c r="AER1" s="9" t="str" cm="1">
        <f t="array" ref="AER1">LettreColonne(COLUMN(AER2))</f>
        <v>AER</v>
      </c>
      <c r="AES1" s="9" t="str" cm="1">
        <f t="array" ref="AES1">LettreColonne(COLUMN(AES2))</f>
        <v>AES</v>
      </c>
      <c r="AET1" s="9" t="str" cm="1">
        <f t="array" ref="AET1">LettreColonne(COLUMN(AET2))</f>
        <v>AET</v>
      </c>
      <c r="AEU1" s="9" t="str" cm="1">
        <f t="array" ref="AEU1">LettreColonne(COLUMN(AEU2))</f>
        <v>AEU</v>
      </c>
      <c r="AEV1" s="9" t="str" cm="1">
        <f t="array" ref="AEV1">LettreColonne(COLUMN(AEV2))</f>
        <v>AEV</v>
      </c>
      <c r="AEW1" s="9" t="str" cm="1">
        <f t="array" ref="AEW1">LettreColonne(COLUMN(AEW2))</f>
        <v>AEW</v>
      </c>
      <c r="AEX1" s="9" t="str" cm="1">
        <f t="array" ref="AEX1">LettreColonne(COLUMN(AEX2))</f>
        <v>AEX</v>
      </c>
      <c r="AEY1" s="9" t="str" cm="1">
        <f t="array" ref="AEY1">LettreColonne(COLUMN(AEY2))</f>
        <v>AEY</v>
      </c>
      <c r="AEZ1" s="9" t="str" cm="1">
        <f t="array" ref="AEZ1">LettreColonne(COLUMN(AEZ2))</f>
        <v>AEZ</v>
      </c>
      <c r="AFA1" s="9" t="str" cm="1">
        <f t="array" ref="AFA1">LettreColonne(COLUMN(AFA2))</f>
        <v>AFA</v>
      </c>
      <c r="AFB1" s="9" t="str" cm="1">
        <f t="array" ref="AFB1">LettreColonne(COLUMN(AFB2))</f>
        <v>AFB</v>
      </c>
      <c r="AFC1" s="9" t="str" cm="1">
        <f t="array" ref="AFC1">LettreColonne(COLUMN(AFC2))</f>
        <v>AFC</v>
      </c>
      <c r="AFD1" s="9" t="str" cm="1">
        <f t="array" ref="AFD1">LettreColonne(COLUMN(AFD2))</f>
        <v>AFD</v>
      </c>
      <c r="AFE1" s="9" t="str" cm="1">
        <f t="array" ref="AFE1">LettreColonne(COLUMN(AFE2))</f>
        <v>AFE</v>
      </c>
      <c r="AFF1" s="9" t="str" cm="1">
        <f t="array" ref="AFF1">LettreColonne(COLUMN(AFF2))</f>
        <v>AFF</v>
      </c>
      <c r="AFG1" s="9" t="str" cm="1">
        <f t="array" ref="AFG1">LettreColonne(COLUMN(AFG2))</f>
        <v>AFG</v>
      </c>
      <c r="AFH1" s="9" t="str" cm="1">
        <f t="array" ref="AFH1">LettreColonne(COLUMN(AFH2))</f>
        <v>AFH</v>
      </c>
      <c r="AFI1" s="9" t="str" cm="1">
        <f t="array" ref="AFI1">LettreColonne(COLUMN(AFI2))</f>
        <v>AFI</v>
      </c>
      <c r="AFJ1" s="9" t="str" cm="1">
        <f t="array" ref="AFJ1">LettreColonne(COLUMN(AFJ2))</f>
        <v>AFJ</v>
      </c>
      <c r="AFK1" s="9" t="str" cm="1">
        <f t="array" ref="AFK1">LettreColonne(COLUMN(AFK2))</f>
        <v>AFK</v>
      </c>
      <c r="AFL1" s="9" t="str" cm="1">
        <f t="array" ref="AFL1">LettreColonne(COLUMN(AFL2))</f>
        <v>AFL</v>
      </c>
      <c r="AFM1" s="9" t="str" cm="1">
        <f t="array" ref="AFM1">LettreColonne(COLUMN(AFM2))</f>
        <v>AFM</v>
      </c>
      <c r="AFN1" s="9" t="str" cm="1">
        <f t="array" ref="AFN1">LettreColonne(COLUMN(AFN2))</f>
        <v>AFN</v>
      </c>
      <c r="AFO1" s="9" t="str" cm="1">
        <f t="array" ref="AFO1">LettreColonne(COLUMN(AFO2))</f>
        <v>AFO</v>
      </c>
      <c r="AFP1" s="9" t="str" cm="1">
        <f t="array" ref="AFP1">LettreColonne(COLUMN(AFP2))</f>
        <v>AFP</v>
      </c>
      <c r="AFQ1" s="9" t="str" cm="1">
        <f t="array" ref="AFQ1">LettreColonne(COLUMN(AFQ2))</f>
        <v>AFQ</v>
      </c>
      <c r="AFR1" s="9" t="str" cm="1">
        <f t="array" ref="AFR1">LettreColonne(COLUMN(AFR2))</f>
        <v>AFR</v>
      </c>
      <c r="AFS1" s="9" t="str" cm="1">
        <f t="array" ref="AFS1">LettreColonne(COLUMN(AFS2))</f>
        <v>AFS</v>
      </c>
      <c r="AFT1" s="9" t="str" cm="1">
        <f t="array" ref="AFT1">LettreColonne(COLUMN(AFT2))</f>
        <v>AFT</v>
      </c>
      <c r="AFU1" s="9" t="str" cm="1">
        <f t="array" ref="AFU1">LettreColonne(COLUMN(AFU2))</f>
        <v>AFU</v>
      </c>
      <c r="AFV1" s="9" t="str" cm="1">
        <f t="array" ref="AFV1">LettreColonne(COLUMN(AFV2))</f>
        <v>AFV</v>
      </c>
      <c r="AFW1" s="9" t="str" cm="1">
        <f t="array" ref="AFW1">LettreColonne(COLUMN(AFW2))</f>
        <v>AFW</v>
      </c>
      <c r="AFX1" s="9" t="str" cm="1">
        <f t="array" ref="AFX1">LettreColonne(COLUMN(AFX2))</f>
        <v>AFX</v>
      </c>
      <c r="AFY1" s="9" t="str" cm="1">
        <f t="array" ref="AFY1">LettreColonne(COLUMN(AFY2))</f>
        <v>AFY</v>
      </c>
      <c r="AFZ1" s="9" t="str" cm="1">
        <f t="array" ref="AFZ1">LettreColonne(COLUMN(AFZ2))</f>
        <v>AFZ</v>
      </c>
      <c r="AGA1" s="9" t="str" cm="1">
        <f t="array" ref="AGA1">LettreColonne(COLUMN(AGA2))</f>
        <v>AGA</v>
      </c>
      <c r="AGB1" s="9" t="str" cm="1">
        <f t="array" ref="AGB1">LettreColonne(COLUMN(AGB2))</f>
        <v>AGB</v>
      </c>
      <c r="AGC1" s="9" t="str" cm="1">
        <f t="array" ref="AGC1">LettreColonne(COLUMN(AGC2))</f>
        <v>AGC</v>
      </c>
      <c r="AGD1" s="9" t="str" cm="1">
        <f t="array" ref="AGD1">LettreColonne(COLUMN(AGD2))</f>
        <v>AGD</v>
      </c>
      <c r="AGE1" s="9" t="str" cm="1">
        <f t="array" ref="AGE1">LettreColonne(COLUMN(AGE2))</f>
        <v>AGE</v>
      </c>
      <c r="AGF1" s="9" t="str" cm="1">
        <f t="array" ref="AGF1">LettreColonne(COLUMN(AGF2))</f>
        <v>AGF</v>
      </c>
      <c r="AGG1" s="9" t="str" cm="1">
        <f t="array" ref="AGG1">LettreColonne(COLUMN(AGG2))</f>
        <v>AGG</v>
      </c>
      <c r="AGH1" s="9" t="str" cm="1">
        <f t="array" ref="AGH1">LettreColonne(COLUMN(AGH2))</f>
        <v>AGH</v>
      </c>
      <c r="AGI1" s="9" t="str" cm="1">
        <f t="array" ref="AGI1">LettreColonne(COLUMN(AGI2))</f>
        <v>AGI</v>
      </c>
      <c r="AGJ1" s="9" t="str" cm="1">
        <f t="array" ref="AGJ1">LettreColonne(COLUMN(AGJ2))</f>
        <v>AGJ</v>
      </c>
      <c r="AGK1" s="9" t="str" cm="1">
        <f t="array" ref="AGK1">LettreColonne(COLUMN(AGK2))</f>
        <v>AGK</v>
      </c>
      <c r="AGL1" s="9" t="str" cm="1">
        <f t="array" ref="AGL1">LettreColonne(COLUMN(AGL2))</f>
        <v>AGL</v>
      </c>
      <c r="AGM1" s="9" t="str" cm="1">
        <f t="array" ref="AGM1">LettreColonne(COLUMN(AGM2))</f>
        <v>AGM</v>
      </c>
      <c r="AGN1" s="9" t="str" cm="1">
        <f t="array" ref="AGN1">LettreColonne(COLUMN(AGN2))</f>
        <v>AGN</v>
      </c>
      <c r="AGO1" s="9" t="str" cm="1">
        <f t="array" ref="AGO1">LettreColonne(COLUMN(AGO2))</f>
        <v>AGO</v>
      </c>
      <c r="AGP1" s="9" t="str" cm="1">
        <f t="array" ref="AGP1">LettreColonne(COLUMN(AGP2))</f>
        <v>AGP</v>
      </c>
      <c r="AGQ1" s="9" t="str" cm="1">
        <f t="array" ref="AGQ1">LettreColonne(COLUMN(AGQ2))</f>
        <v>AGQ</v>
      </c>
      <c r="AGR1" s="9" t="str" cm="1">
        <f t="array" ref="AGR1">LettreColonne(COLUMN(AGR2))</f>
        <v>AGR</v>
      </c>
      <c r="AGS1" s="9" t="str" cm="1">
        <f t="array" ref="AGS1">LettreColonne(COLUMN(AGS2))</f>
        <v>AGS</v>
      </c>
      <c r="AGT1" s="9" t="str" cm="1">
        <f t="array" ref="AGT1">LettreColonne(COLUMN(AGT2))</f>
        <v>AGT</v>
      </c>
      <c r="AGU1" s="9" t="str" cm="1">
        <f t="array" ref="AGU1">LettreColonne(COLUMN(AGU2))</f>
        <v>AGU</v>
      </c>
      <c r="AGV1" s="9" t="str" cm="1">
        <f t="array" ref="AGV1">LettreColonne(COLUMN(AGV2))</f>
        <v>AGV</v>
      </c>
      <c r="AGW1" s="9" t="str" cm="1">
        <f t="array" ref="AGW1">LettreColonne(COLUMN(AGW2))</f>
        <v>AGW</v>
      </c>
      <c r="AGX1" s="9" t="str" cm="1">
        <f t="array" ref="AGX1">LettreColonne(COLUMN(AGX2))</f>
        <v>AGX</v>
      </c>
      <c r="AGY1" s="9" t="str" cm="1">
        <f t="array" ref="AGY1">LettreColonne(COLUMN(AGY2))</f>
        <v>AGY</v>
      </c>
      <c r="AGZ1" s="9" t="str" cm="1">
        <f t="array" ref="AGZ1">LettreColonne(COLUMN(AGZ2))</f>
        <v>AGZ</v>
      </c>
      <c r="AHA1" s="9" t="str" cm="1">
        <f t="array" ref="AHA1">LettreColonne(COLUMN(AHA2))</f>
        <v>AHA</v>
      </c>
      <c r="AHB1" s="9" t="str" cm="1">
        <f t="array" ref="AHB1">LettreColonne(COLUMN(AHB2))</f>
        <v>AHB</v>
      </c>
      <c r="AHC1" s="9" t="str" cm="1">
        <f t="array" ref="AHC1">LettreColonne(COLUMN(AHC2))</f>
        <v>AHC</v>
      </c>
      <c r="AHD1" s="9" t="str" cm="1">
        <f t="array" ref="AHD1">LettreColonne(COLUMN(AHD2))</f>
        <v>AHD</v>
      </c>
      <c r="AHE1" s="9" t="str" cm="1">
        <f t="array" ref="AHE1">LettreColonne(COLUMN(AHE2))</f>
        <v>AHE</v>
      </c>
      <c r="AHF1" s="9" t="str" cm="1">
        <f t="array" ref="AHF1">LettreColonne(COLUMN(AHF2))</f>
        <v>AHF</v>
      </c>
      <c r="AHG1" s="9" t="str" cm="1">
        <f t="array" ref="AHG1">LettreColonne(COLUMN(AHG2))</f>
        <v>AHG</v>
      </c>
      <c r="AHH1" s="9" t="str" cm="1">
        <f t="array" ref="AHH1">LettreColonne(COLUMN(AHH2))</f>
        <v>AHH</v>
      </c>
      <c r="AHI1" s="9" t="str" cm="1">
        <f t="array" ref="AHI1">LettreColonne(COLUMN(AHI2))</f>
        <v>AHI</v>
      </c>
      <c r="AHJ1" s="9" t="str" cm="1">
        <f t="array" ref="AHJ1">LettreColonne(COLUMN(AHJ2))</f>
        <v>AHJ</v>
      </c>
      <c r="AHK1" s="9" t="str" cm="1">
        <f t="array" ref="AHK1">LettreColonne(COLUMN(AHK2))</f>
        <v>AHK</v>
      </c>
      <c r="AHL1" s="9" t="str" cm="1">
        <f t="array" ref="AHL1">LettreColonne(COLUMN(AHL2))</f>
        <v>AHL</v>
      </c>
      <c r="AHM1" s="9" t="str" cm="1">
        <f t="array" ref="AHM1">LettreColonne(COLUMN(AHM2))</f>
        <v>AHM</v>
      </c>
      <c r="AHN1" s="9" t="str" cm="1">
        <f t="array" ref="AHN1">LettreColonne(COLUMN(AHN2))</f>
        <v>AHN</v>
      </c>
      <c r="AHO1" s="9" t="str" cm="1">
        <f t="array" ref="AHO1">LettreColonne(COLUMN(AHO2))</f>
        <v>AHO</v>
      </c>
      <c r="AHP1" s="9" t="str" cm="1">
        <f t="array" ref="AHP1">LettreColonne(COLUMN(AHP2))</f>
        <v>AHP</v>
      </c>
      <c r="AHQ1" s="9" t="str" cm="1">
        <f t="array" ref="AHQ1">LettreColonne(COLUMN(AHQ2))</f>
        <v>AHQ</v>
      </c>
      <c r="AHR1" s="9" t="str" cm="1">
        <f t="array" ref="AHR1">LettreColonne(COLUMN(AHR2))</f>
        <v>AHR</v>
      </c>
      <c r="AHS1" s="9" t="str" cm="1">
        <f t="array" ref="AHS1">LettreColonne(COLUMN(AHS2))</f>
        <v>AHS</v>
      </c>
      <c r="AHT1" s="9" t="str" cm="1">
        <f t="array" ref="AHT1">LettreColonne(COLUMN(AHT2))</f>
        <v>AHT</v>
      </c>
      <c r="AHU1" s="9" t="str" cm="1">
        <f t="array" ref="AHU1">LettreColonne(COLUMN(AHU2))</f>
        <v>AHU</v>
      </c>
      <c r="AHV1" s="9" t="str" cm="1">
        <f t="array" ref="AHV1">LettreColonne(COLUMN(AHV2))</f>
        <v>AHV</v>
      </c>
      <c r="AHW1" s="9" t="str" cm="1">
        <f t="array" ref="AHW1">LettreColonne(COLUMN(AHW2))</f>
        <v>AHW</v>
      </c>
      <c r="AHX1" s="9" t="str" cm="1">
        <f t="array" ref="AHX1">LettreColonne(COLUMN(AHX2))</f>
        <v>AHX</v>
      </c>
      <c r="AHY1" s="9" t="str" cm="1">
        <f t="array" ref="AHY1">LettreColonne(COLUMN(AHY2))</f>
        <v>AHY</v>
      </c>
      <c r="AHZ1" s="9" t="str" cm="1">
        <f t="array" ref="AHZ1">LettreColonne(COLUMN(AHZ2))</f>
        <v>AHZ</v>
      </c>
      <c r="AIA1" s="9" t="str" cm="1">
        <f t="array" ref="AIA1">LettreColonne(COLUMN(AIA2))</f>
        <v>AIA</v>
      </c>
      <c r="AIB1" s="9" t="str" cm="1">
        <f t="array" ref="AIB1">LettreColonne(COLUMN(AIB2))</f>
        <v>AIB</v>
      </c>
      <c r="AIC1" s="9" t="str" cm="1">
        <f t="array" ref="AIC1">LettreColonne(COLUMN(AIC2))</f>
        <v>AIC</v>
      </c>
      <c r="AID1" s="9" t="str" cm="1">
        <f t="array" ref="AID1">LettreColonne(COLUMN(AID2))</f>
        <v>AID</v>
      </c>
      <c r="AIE1" s="9" t="str" cm="1">
        <f t="array" ref="AIE1">LettreColonne(COLUMN(AIE2))</f>
        <v>AIE</v>
      </c>
      <c r="AIF1" s="9" t="str" cm="1">
        <f t="array" ref="AIF1">LettreColonne(COLUMN(AIF2))</f>
        <v>AIF</v>
      </c>
      <c r="AIG1" s="9" t="str" cm="1">
        <f t="array" ref="AIG1">LettreColonne(COLUMN(AIG2))</f>
        <v>AIG</v>
      </c>
      <c r="AIH1" s="9" t="str" cm="1">
        <f t="array" ref="AIH1">LettreColonne(COLUMN(AIH2))</f>
        <v>AIH</v>
      </c>
      <c r="AII1" s="9" t="str" cm="1">
        <f t="array" ref="AII1">LettreColonne(COLUMN(AII2))</f>
        <v>AII</v>
      </c>
      <c r="AIJ1" s="9" t="str" cm="1">
        <f t="array" ref="AIJ1">LettreColonne(COLUMN(AIJ2))</f>
        <v>AIJ</v>
      </c>
      <c r="AIK1" s="9" t="str" cm="1">
        <f t="array" ref="AIK1">LettreColonne(COLUMN(AIK2))</f>
        <v>AIK</v>
      </c>
      <c r="AIL1" s="9" t="str" cm="1">
        <f t="array" ref="AIL1">LettreColonne(COLUMN(AIL2))</f>
        <v>AIL</v>
      </c>
      <c r="AIM1" s="9" t="str" cm="1">
        <f t="array" ref="AIM1">LettreColonne(COLUMN(AIM2))</f>
        <v>AIM</v>
      </c>
      <c r="AIN1" s="9" t="str" cm="1">
        <f t="array" ref="AIN1">LettreColonne(COLUMN(AIN2))</f>
        <v>AIN</v>
      </c>
      <c r="AIO1" s="9" t="str" cm="1">
        <f t="array" ref="AIO1">LettreColonne(COLUMN(AIO2))</f>
        <v>AIO</v>
      </c>
      <c r="AIP1" s="9" t="str" cm="1">
        <f t="array" ref="AIP1">LettreColonne(COLUMN(AIP2))</f>
        <v>AIP</v>
      </c>
      <c r="AIQ1" s="9" t="str" cm="1">
        <f t="array" ref="AIQ1">LettreColonne(COLUMN(AIQ2))</f>
        <v>AIQ</v>
      </c>
      <c r="AIR1" s="9" t="str" cm="1">
        <f t="array" ref="AIR1">LettreColonne(COLUMN(AIR2))</f>
        <v>AIR</v>
      </c>
      <c r="AIS1" s="9" t="str" cm="1">
        <f t="array" ref="AIS1">LettreColonne(COLUMN(AIS2))</f>
        <v>AIS</v>
      </c>
      <c r="AIT1" s="9" t="str" cm="1">
        <f t="array" ref="AIT1">LettreColonne(COLUMN(AIT2))</f>
        <v>AIT</v>
      </c>
      <c r="AIU1" s="9" t="str" cm="1">
        <f t="array" ref="AIU1">LettreColonne(COLUMN(AIU2))</f>
        <v>AIU</v>
      </c>
      <c r="AIV1" s="9" t="str" cm="1">
        <f t="array" ref="AIV1">LettreColonne(COLUMN(AIV2))</f>
        <v>AIV</v>
      </c>
      <c r="AIW1" s="9" t="str" cm="1">
        <f t="array" ref="AIW1">LettreColonne(COLUMN(AIW2))</f>
        <v>AIW</v>
      </c>
      <c r="AIX1" s="9" t="str" cm="1">
        <f t="array" ref="AIX1">LettreColonne(COLUMN(AIX2))</f>
        <v>AIX</v>
      </c>
      <c r="AIY1" s="9" t="str" cm="1">
        <f t="array" ref="AIY1">LettreColonne(COLUMN(AIY2))</f>
        <v>AIY</v>
      </c>
      <c r="AIZ1" s="9" t="str" cm="1">
        <f t="array" ref="AIZ1">LettreColonne(COLUMN(AIZ2))</f>
        <v>AIZ</v>
      </c>
      <c r="AJA1" s="9" t="str" cm="1">
        <f t="array" ref="AJA1">LettreColonne(COLUMN(AJA2))</f>
        <v>AJA</v>
      </c>
      <c r="AJB1" s="9" t="str" cm="1">
        <f t="array" ref="AJB1">LettreColonne(COLUMN(AJB2))</f>
        <v>AJB</v>
      </c>
      <c r="AJC1" s="9" t="str" cm="1">
        <f t="array" ref="AJC1">LettreColonne(COLUMN(AJC2))</f>
        <v>AJC</v>
      </c>
      <c r="AJD1" s="9" t="str" cm="1">
        <f t="array" ref="AJD1">LettreColonne(COLUMN(AJD2))</f>
        <v>AJD</v>
      </c>
      <c r="AJE1" s="9" t="str" cm="1">
        <f t="array" ref="AJE1">LettreColonne(COLUMN(AJE2))</f>
        <v>AJE</v>
      </c>
      <c r="AJF1" s="9" t="str" cm="1">
        <f t="array" ref="AJF1">LettreColonne(COLUMN(AJF2))</f>
        <v>AJF</v>
      </c>
      <c r="AJG1" s="9" t="str" cm="1">
        <f t="array" ref="AJG1">LettreColonne(COLUMN(AJG2))</f>
        <v>AJG</v>
      </c>
      <c r="AJH1" s="9" t="str" cm="1">
        <f t="array" ref="AJH1">LettreColonne(COLUMN(AJH2))</f>
        <v>AJH</v>
      </c>
      <c r="AJI1" s="9" t="str" cm="1">
        <f t="array" ref="AJI1">LettreColonne(COLUMN(AJI2))</f>
        <v>AJI</v>
      </c>
      <c r="AJJ1" s="9" t="str" cm="1">
        <f t="array" ref="AJJ1">LettreColonne(COLUMN(AJJ2))</f>
        <v>AJJ</v>
      </c>
      <c r="AJK1" s="9" t="str" cm="1">
        <f t="array" ref="AJK1">LettreColonne(COLUMN(AJK2))</f>
        <v>AJK</v>
      </c>
      <c r="AJL1" s="9" t="str" cm="1">
        <f t="array" ref="AJL1">LettreColonne(COLUMN(AJL2))</f>
        <v>AJL</v>
      </c>
      <c r="AJM1" s="9" t="str" cm="1">
        <f t="array" ref="AJM1">LettreColonne(COLUMN(AJM2))</f>
        <v>AJM</v>
      </c>
      <c r="AJN1" s="9" t="str" cm="1">
        <f t="array" ref="AJN1">LettreColonne(COLUMN(AJN2))</f>
        <v>AJN</v>
      </c>
      <c r="AJO1" s="9" t="str" cm="1">
        <f t="array" ref="AJO1">LettreColonne(COLUMN(AJO2))</f>
        <v>AJO</v>
      </c>
      <c r="AJP1" s="9" t="str" cm="1">
        <f t="array" ref="AJP1">LettreColonne(COLUMN(AJP2))</f>
        <v>AJP</v>
      </c>
      <c r="AJQ1" s="9" t="str" cm="1">
        <f t="array" ref="AJQ1">LettreColonne(COLUMN(AJQ2))</f>
        <v>AJQ</v>
      </c>
      <c r="AJR1" s="9" t="str" cm="1">
        <f t="array" ref="AJR1">LettreColonne(COLUMN(AJR2))</f>
        <v>AJR</v>
      </c>
      <c r="AJS1" s="9" t="str" cm="1">
        <f t="array" ref="AJS1">LettreColonne(COLUMN(AJS2))</f>
        <v>AJS</v>
      </c>
      <c r="AJT1" s="9" t="str" cm="1">
        <f t="array" ref="AJT1">LettreColonne(COLUMN(AJT2))</f>
        <v>AJT</v>
      </c>
      <c r="AJU1" s="9" t="str" cm="1">
        <f t="array" ref="AJU1">LettreColonne(COLUMN(AJU2))</f>
        <v>AJU</v>
      </c>
      <c r="AJV1" s="9" t="str" cm="1">
        <f t="array" ref="AJV1">LettreColonne(COLUMN(AJV2))</f>
        <v>AJV</v>
      </c>
      <c r="AJW1" s="9" t="str" cm="1">
        <f t="array" ref="AJW1">LettreColonne(COLUMN(AJW2))</f>
        <v>AJW</v>
      </c>
      <c r="AJX1" s="9" t="str" cm="1">
        <f t="array" ref="AJX1">LettreColonne(COLUMN(AJX2))</f>
        <v>AJX</v>
      </c>
      <c r="AJY1" s="9" t="str" cm="1">
        <f t="array" ref="AJY1">LettreColonne(COLUMN(AJY2))</f>
        <v>AJY</v>
      </c>
      <c r="AJZ1" s="9" t="str" cm="1">
        <f t="array" ref="AJZ1">LettreColonne(COLUMN(AJZ2))</f>
        <v>AJZ</v>
      </c>
      <c r="AKA1" s="9" t="str" cm="1">
        <f t="array" ref="AKA1">LettreColonne(COLUMN(AKA2))</f>
        <v>AKA</v>
      </c>
      <c r="AKB1" s="9" t="str" cm="1">
        <f t="array" ref="AKB1">LettreColonne(COLUMN(AKB2))</f>
        <v>AKB</v>
      </c>
      <c r="AKC1" s="9" t="str" cm="1">
        <f t="array" ref="AKC1">LettreColonne(COLUMN(AKC2))</f>
        <v>AKC</v>
      </c>
      <c r="AKD1" s="9" t="str" cm="1">
        <f t="array" ref="AKD1">LettreColonne(COLUMN(AKD2))</f>
        <v>AKD</v>
      </c>
      <c r="AKE1" s="9" t="str" cm="1">
        <f t="array" ref="AKE1">LettreColonne(COLUMN(AKE2))</f>
        <v>AKE</v>
      </c>
      <c r="AKF1" s="9" t="str" cm="1">
        <f t="array" ref="AKF1">LettreColonne(COLUMN(AKF2))</f>
        <v>AKF</v>
      </c>
      <c r="AKG1" s="9" t="str" cm="1">
        <f t="array" ref="AKG1">LettreColonne(COLUMN(AKG2))</f>
        <v>AKG</v>
      </c>
      <c r="AKH1" s="9" t="str" cm="1">
        <f t="array" ref="AKH1">LettreColonne(COLUMN(AKH2))</f>
        <v>AKH</v>
      </c>
      <c r="AKI1" s="9" t="str" cm="1">
        <f t="array" ref="AKI1">LettreColonne(COLUMN(AKI2))</f>
        <v>AKI</v>
      </c>
      <c r="AKJ1" s="9" t="str" cm="1">
        <f t="array" ref="AKJ1">LettreColonne(COLUMN(AKJ2))</f>
        <v>AKJ</v>
      </c>
      <c r="AKK1" s="9" t="str" cm="1">
        <f t="array" ref="AKK1">LettreColonne(COLUMN(AKK2))</f>
        <v>AKK</v>
      </c>
      <c r="AKL1" s="9" t="str" cm="1">
        <f t="array" ref="AKL1">LettreColonne(COLUMN(AKL2))</f>
        <v>AKL</v>
      </c>
      <c r="AKM1" s="9" t="str" cm="1">
        <f t="array" ref="AKM1">LettreColonne(COLUMN(AKM2))</f>
        <v>AKM</v>
      </c>
      <c r="AKN1" s="9" t="str" cm="1">
        <f t="array" ref="AKN1">LettreColonne(COLUMN(AKN2))</f>
        <v>AKN</v>
      </c>
      <c r="AKO1" s="9" t="str" cm="1">
        <f t="array" ref="AKO1">LettreColonne(COLUMN(AKO2))</f>
        <v>AKO</v>
      </c>
      <c r="AKP1" s="9" t="str" cm="1">
        <f t="array" ref="AKP1">LettreColonne(COLUMN(AKP2))</f>
        <v>AKP</v>
      </c>
      <c r="AKQ1" s="9" t="str" cm="1">
        <f t="array" ref="AKQ1">LettreColonne(COLUMN(AKQ2))</f>
        <v>AKQ</v>
      </c>
      <c r="AKR1" s="9" t="str" cm="1">
        <f t="array" ref="AKR1">LettreColonne(COLUMN(AKR2))</f>
        <v>AKR</v>
      </c>
      <c r="AKS1" s="9" t="str" cm="1">
        <f t="array" ref="AKS1">LettreColonne(COLUMN(AKS2))</f>
        <v>AKS</v>
      </c>
      <c r="AKT1" s="9" t="str" cm="1">
        <f t="array" ref="AKT1">LettreColonne(COLUMN(AKT2))</f>
        <v>AKT</v>
      </c>
      <c r="AKU1" s="9" t="str" cm="1">
        <f t="array" ref="AKU1">LettreColonne(COLUMN(AKU2))</f>
        <v>AKU</v>
      </c>
      <c r="AKV1" s="9" t="str" cm="1">
        <f t="array" ref="AKV1">LettreColonne(COLUMN(AKV2))</f>
        <v>AKV</v>
      </c>
      <c r="AKW1" s="9" t="str" cm="1">
        <f t="array" ref="AKW1">LettreColonne(COLUMN(AKW2))</f>
        <v>AKW</v>
      </c>
      <c r="AKX1" s="9" t="str" cm="1">
        <f t="array" ref="AKX1">LettreColonne(COLUMN(AKX2))</f>
        <v>AKX</v>
      </c>
      <c r="AKY1" s="9" t="str" cm="1">
        <f t="array" ref="AKY1">LettreColonne(COLUMN(AKY2))</f>
        <v>AKY</v>
      </c>
      <c r="AKZ1" s="9" t="str" cm="1">
        <f t="array" ref="AKZ1">LettreColonne(COLUMN(AKZ2))</f>
        <v>AKZ</v>
      </c>
      <c r="ALA1" s="9" t="str" cm="1">
        <f t="array" ref="ALA1">LettreColonne(COLUMN(ALA2))</f>
        <v>ALA</v>
      </c>
      <c r="ALB1" s="9" t="str" cm="1">
        <f t="array" ref="ALB1">LettreColonne(COLUMN(ALB2))</f>
        <v>ALB</v>
      </c>
      <c r="ALC1" s="9" t="str" cm="1">
        <f t="array" ref="ALC1">LettreColonne(COLUMN(ALC2))</f>
        <v>ALC</v>
      </c>
      <c r="ALD1" s="9" t="str" cm="1">
        <f t="array" ref="ALD1">LettreColonne(COLUMN(ALD2))</f>
        <v>ALD</v>
      </c>
      <c r="ALE1" s="9" t="str" cm="1">
        <f t="array" ref="ALE1">LettreColonne(COLUMN(ALE2))</f>
        <v>ALE</v>
      </c>
      <c r="ALF1" s="9" t="str" cm="1">
        <f t="array" ref="ALF1">LettreColonne(COLUMN(ALF2))</f>
        <v>ALF</v>
      </c>
      <c r="ALG1" s="9" t="str" cm="1">
        <f t="array" ref="ALG1">LettreColonne(COLUMN(ALG2))</f>
        <v>ALG</v>
      </c>
      <c r="ALH1" s="9" t="str" cm="1">
        <f t="array" ref="ALH1">LettreColonne(COLUMN(ALH2))</f>
        <v>ALH</v>
      </c>
      <c r="ALI1" s="9" t="str" cm="1">
        <f t="array" ref="ALI1">LettreColonne(COLUMN(ALI2))</f>
        <v>ALI</v>
      </c>
      <c r="ALJ1" s="9" t="str" cm="1">
        <f t="array" ref="ALJ1">LettreColonne(COLUMN(ALJ2))</f>
        <v>ALJ</v>
      </c>
      <c r="ALK1" s="9" t="str" cm="1">
        <f t="array" ref="ALK1">LettreColonne(COLUMN(ALK2))</f>
        <v>ALK</v>
      </c>
      <c r="ALL1" s="9" t="str" cm="1">
        <f t="array" ref="ALL1">LettreColonne(COLUMN(ALL2))</f>
        <v>ALL</v>
      </c>
      <c r="ALM1" s="9" t="str" cm="1">
        <f t="array" ref="ALM1">LettreColonne(COLUMN(ALM2))</f>
        <v>ALM</v>
      </c>
      <c r="ALN1" s="9" t="str" cm="1">
        <f t="array" ref="ALN1">LettreColonne(COLUMN(ALN2))</f>
        <v>ALN</v>
      </c>
      <c r="ALO1" s="9" t="str" cm="1">
        <f t="array" ref="ALO1">LettreColonne(COLUMN(ALO2))</f>
        <v>ALO</v>
      </c>
      <c r="ALP1" s="9" t="str" cm="1">
        <f t="array" ref="ALP1">LettreColonne(COLUMN(ALP2))</f>
        <v>ALP</v>
      </c>
      <c r="ALQ1" s="9" t="str" cm="1">
        <f t="array" ref="ALQ1">LettreColonne(COLUMN(ALQ2))</f>
        <v>ALQ</v>
      </c>
      <c r="ALR1" s="9" t="str" cm="1">
        <f t="array" ref="ALR1">LettreColonne(COLUMN(ALR2))</f>
        <v>ALR</v>
      </c>
      <c r="ALS1" s="9" t="str" cm="1">
        <f t="array" ref="ALS1">LettreColonne(COLUMN(ALS2))</f>
        <v>ALS</v>
      </c>
      <c r="ALT1" s="9" t="str" cm="1">
        <f t="array" ref="ALT1">LettreColonne(COLUMN(ALT2))</f>
        <v>ALT</v>
      </c>
      <c r="ALU1" s="9" t="str" cm="1">
        <f t="array" ref="ALU1">LettreColonne(COLUMN(ALU2))</f>
        <v>ALU</v>
      </c>
      <c r="ALV1" s="9" t="str" cm="1">
        <f t="array" ref="ALV1">LettreColonne(COLUMN(ALV2))</f>
        <v>ALV</v>
      </c>
      <c r="ALW1" s="9" t="str" cm="1">
        <f t="array" ref="ALW1">LettreColonne(COLUMN(ALW2))</f>
        <v>ALW</v>
      </c>
      <c r="ALX1" s="9" t="str" cm="1">
        <f t="array" ref="ALX1">LettreColonne(COLUMN(ALX2))</f>
        <v>ALX</v>
      </c>
      <c r="ALY1" s="9" t="str" cm="1">
        <f t="array" ref="ALY1">LettreColonne(COLUMN(ALY2))</f>
        <v>ALY</v>
      </c>
      <c r="ALZ1" s="9" t="str" cm="1">
        <f t="array" ref="ALZ1">LettreColonne(COLUMN(ALZ2))</f>
        <v>ALZ</v>
      </c>
      <c r="AMA1" s="9" t="str" cm="1">
        <f t="array" ref="AMA1">LettreColonne(COLUMN(AMA2))</f>
        <v>AMA</v>
      </c>
      <c r="AMB1" s="9" t="str" cm="1">
        <f t="array" ref="AMB1">LettreColonne(COLUMN(AMB2))</f>
        <v>AMB</v>
      </c>
      <c r="AMC1" s="9" t="str" cm="1">
        <f t="array" ref="AMC1">LettreColonne(COLUMN(AMC2))</f>
        <v>AMC</v>
      </c>
      <c r="AMD1" s="9" t="str" cm="1">
        <f t="array" ref="AMD1">LettreColonne(COLUMN(AMD2))</f>
        <v>AMD</v>
      </c>
      <c r="AME1" s="9" t="str" cm="1">
        <f t="array" ref="AME1">LettreColonne(COLUMN(AME2))</f>
        <v>AME</v>
      </c>
      <c r="AMF1" s="9" t="str" cm="1">
        <f t="array" ref="AMF1">LettreColonne(COLUMN(AMF2))</f>
        <v>AMF</v>
      </c>
      <c r="AMG1" s="9" t="str" cm="1">
        <f t="array" ref="AMG1">LettreColonne(COLUMN(AMG2))</f>
        <v>AMG</v>
      </c>
      <c r="AMH1" s="9" t="str" cm="1">
        <f t="array" ref="AMH1">LettreColonne(COLUMN(AMH2))</f>
        <v>AMH</v>
      </c>
      <c r="AMI1" s="9" t="str" cm="1">
        <f t="array" ref="AMI1">LettreColonne(COLUMN(AMI2))</f>
        <v>AMI</v>
      </c>
      <c r="AMJ1" s="9" t="str" cm="1">
        <f t="array" ref="AMJ1">LettreColonne(COLUMN(AMJ2))</f>
        <v>AMJ</v>
      </c>
      <c r="AMK1" s="9" t="str" cm="1">
        <f t="array" ref="AMK1">LettreColonne(COLUMN(AMK2))</f>
        <v>AMK</v>
      </c>
      <c r="AML1" s="9" t="str" cm="1">
        <f t="array" ref="AML1">LettreColonne(COLUMN(AML2))</f>
        <v>AML</v>
      </c>
      <c r="AMM1" s="9" t="str" cm="1">
        <f t="array" ref="AMM1">LettreColonne(COLUMN(AMM2))</f>
        <v>AMM</v>
      </c>
      <c r="AMN1" s="9" t="str" cm="1">
        <f t="array" ref="AMN1">LettreColonne(COLUMN(AMN2))</f>
        <v>AMN</v>
      </c>
      <c r="AMO1" s="9" t="str" cm="1">
        <f t="array" ref="AMO1">LettreColonne(COLUMN(AMO2))</f>
        <v>AMO</v>
      </c>
      <c r="AMP1" s="9" t="str" cm="1">
        <f t="array" ref="AMP1">LettreColonne(COLUMN(AMP2))</f>
        <v>AMP</v>
      </c>
      <c r="AMQ1" s="9" t="str" cm="1">
        <f t="array" ref="AMQ1">LettreColonne(COLUMN(AMQ2))</f>
        <v>AMQ</v>
      </c>
      <c r="AMR1" s="9" t="str" cm="1">
        <f t="array" ref="AMR1">LettreColonne(COLUMN(AMR2))</f>
        <v>AMR</v>
      </c>
      <c r="AMS1" s="9" t="str" cm="1">
        <f t="array" ref="AMS1">LettreColonne(COLUMN(AMS2))</f>
        <v>AMS</v>
      </c>
      <c r="AMT1" s="9" t="str" cm="1">
        <f t="array" ref="AMT1">LettreColonne(COLUMN(AMT2))</f>
        <v>AMT</v>
      </c>
      <c r="AMU1" s="9" t="str" cm="1">
        <f t="array" ref="AMU1">LettreColonne(COLUMN(AMU2))</f>
        <v>AMU</v>
      </c>
      <c r="AMV1" s="9" t="str" cm="1">
        <f t="array" ref="AMV1">LettreColonne(COLUMN(AMV2))</f>
        <v>AMV</v>
      </c>
      <c r="AMW1" s="9" t="str" cm="1">
        <f t="array" ref="AMW1">LettreColonne(COLUMN(AMW2))</f>
        <v>AMW</v>
      </c>
      <c r="AMX1" s="9" t="str" cm="1">
        <f t="array" ref="AMX1">LettreColonne(COLUMN(AMX2))</f>
        <v>AMX</v>
      </c>
      <c r="AMY1" s="9" t="str" cm="1">
        <f t="array" ref="AMY1">LettreColonne(COLUMN(AMY2))</f>
        <v>AMY</v>
      </c>
      <c r="AMZ1" s="9" t="str" cm="1">
        <f t="array" ref="AMZ1">LettreColonne(COLUMN(AMZ2))</f>
        <v>AMZ</v>
      </c>
      <c r="ANA1" s="9" t="str" cm="1">
        <f t="array" ref="ANA1">LettreColonne(COLUMN(ANA2))</f>
        <v>ANA</v>
      </c>
      <c r="ANB1" s="9" t="str" cm="1">
        <f t="array" ref="ANB1">LettreColonne(COLUMN(ANB2))</f>
        <v>ANB</v>
      </c>
      <c r="ANC1" s="9" t="str" cm="1">
        <f t="array" ref="ANC1">LettreColonne(COLUMN(ANC2))</f>
        <v>ANC</v>
      </c>
      <c r="AND1" s="9" t="str" cm="1">
        <f t="array" ref="AND1">LettreColonne(COLUMN(AND2))</f>
        <v>AND</v>
      </c>
      <c r="ANE1" s="9" t="str" cm="1">
        <f t="array" ref="ANE1">LettreColonne(COLUMN(ANE2))</f>
        <v>ANE</v>
      </c>
      <c r="ANF1" s="9" t="str" cm="1">
        <f t="array" ref="ANF1">LettreColonne(COLUMN(ANF2))</f>
        <v>ANF</v>
      </c>
      <c r="ANG1" s="9" t="str" cm="1">
        <f t="array" ref="ANG1">LettreColonne(COLUMN(ANG2))</f>
        <v>ANG</v>
      </c>
      <c r="ANH1" s="9" t="str" cm="1">
        <f t="array" ref="ANH1">LettreColonne(COLUMN(ANH2))</f>
        <v>ANH</v>
      </c>
      <c r="ANI1" s="9" t="str" cm="1">
        <f t="array" ref="ANI1">LettreColonne(COLUMN(ANI2))</f>
        <v>ANI</v>
      </c>
      <c r="ANJ1" s="9" t="str" cm="1">
        <f t="array" ref="ANJ1">LettreColonne(COLUMN(ANJ2))</f>
        <v>ANJ</v>
      </c>
      <c r="ANK1" s="9" t="str" cm="1">
        <f t="array" ref="ANK1">LettreColonne(COLUMN(ANK2))</f>
        <v>ANK</v>
      </c>
      <c r="ANL1" s="9" t="str" cm="1">
        <f t="array" ref="ANL1">LettreColonne(COLUMN(ANL2))</f>
        <v>ANL</v>
      </c>
      <c r="ANM1" s="9" t="str" cm="1">
        <f t="array" ref="ANM1">LettreColonne(COLUMN(ANM2))</f>
        <v>ANM</v>
      </c>
      <c r="ANN1" s="9" t="str" cm="1">
        <f t="array" ref="ANN1">LettreColonne(COLUMN(ANN2))</f>
        <v>ANN</v>
      </c>
      <c r="ANO1" s="9" t="str" cm="1">
        <f t="array" ref="ANO1">LettreColonne(COLUMN(ANO2))</f>
        <v>ANO</v>
      </c>
      <c r="ANP1" s="9" t="str" cm="1">
        <f t="array" ref="ANP1">LettreColonne(COLUMN(ANP2))</f>
        <v>ANP</v>
      </c>
      <c r="ANQ1" s="9" t="str" cm="1">
        <f t="array" ref="ANQ1">LettreColonne(COLUMN(ANQ2))</f>
        <v>ANQ</v>
      </c>
      <c r="ANR1" s="9" t="str" cm="1">
        <f t="array" ref="ANR1">LettreColonne(COLUMN(ANR2))</f>
        <v>ANR</v>
      </c>
      <c r="ANS1" s="9" t="str" cm="1">
        <f t="array" ref="ANS1">LettreColonne(COLUMN(ANS2))</f>
        <v>ANS</v>
      </c>
      <c r="ANT1" s="9" t="str" cm="1">
        <f t="array" ref="ANT1">LettreColonne(COLUMN(ANT2))</f>
        <v>ANT</v>
      </c>
      <c r="ANU1" s="9" t="str" cm="1">
        <f t="array" ref="ANU1">LettreColonne(COLUMN(ANU2))</f>
        <v>ANU</v>
      </c>
    </row>
    <row r="2" spans="1:1061" x14ac:dyDescent="0.3">
      <c r="A2" s="17"/>
      <c r="B2" s="5" t="str" cm="1">
        <f t="array" ref="B2:AW2">TRANSPOSE(A3:A50)</f>
        <v>12 boulevard des Capucines, Paris</v>
      </c>
      <c r="C2" s="5" t="str">
        <v>13 rue de la Paix,Paris</v>
      </c>
      <c r="D2" s="5" t="str">
        <v>154 avenue des Champs Elysées, Paris</v>
      </c>
      <c r="E2" s="5" t="str">
        <v>17 rue du Faubourg Saint-Honoré,Paris</v>
      </c>
      <c r="F2" s="5" t="str">
        <v>23 place Vendôme, Paris</v>
      </c>
      <c r="G2" s="5" t="str">
        <v>40 boulevard Haussmann, Paris</v>
      </c>
      <c r="H2" s="5" t="str">
        <v>51 rue François 1er, Paris</v>
      </c>
      <c r="I2" s="5" t="str">
        <v>9 rue de la Monnaie, Paris</v>
      </c>
      <c r="J2" s="5" t="str">
        <v>Charles-de-Gaulle, Porte K Terminal 2E</v>
      </c>
      <c r="K2" s="5" t="str">
        <v>Charles-de-Gaulle, Porte L Terminal 2E</v>
      </c>
      <c r="L2" s="5" t="str">
        <v>Charles-de-Gaulle, Terminal 1</v>
      </c>
      <c r="M2" s="5" t="str">
        <v>ROSHEIM 67560. France</v>
      </c>
      <c r="N2" s="5" t="str">
        <v>1 Rue René Dumont. Vierzon 18100. France</v>
      </c>
      <c r="O2" s="5" t="str">
        <v>44 avenue Occitanie. SAINT MAUR 36250. France</v>
      </c>
      <c r="P2" s="5" t="str">
        <v>L'Aumône. MUR DE SOLOGNE 41230. France</v>
      </c>
      <c r="Q2" s="5" t="str">
        <v>1 Rue du Boisillon. ZI des Châtelets. Ploufragan 22440. France</v>
      </c>
      <c r="R2" s="5" t="str">
        <v>5. rue de la Motte. LUCE 28110. France</v>
      </c>
      <c r="S2" s="5" t="str">
        <v>Bourges 18000. France</v>
      </c>
      <c r="T2" s="5" t="str">
        <v>12 rue du Rocher. Saint-Barthélemy-d'Anjou 49184. France</v>
      </c>
      <c r="U2" s="5" t="str">
        <v>Chaingy 45380. France</v>
      </c>
      <c r="V2" s="5" t="str">
        <v>20 rue Archimède. Hennebont 56700. France</v>
      </c>
      <c r="W2" s="5" t="str">
        <v>16 rue Léon Berthault. Rennes 35039. France</v>
      </c>
      <c r="X2" s="5" t="str">
        <v>17. boulevard de la Millière. Marseille 13011. France</v>
      </c>
      <c r="Y2" s="5" t="str">
        <v>101 Avenue Ibrahim Ali. Marseille 13015. France</v>
      </c>
      <c r="Z2" s="5" t="str">
        <v>48. route de l'Ile Saint-Julien. Bonneuil-sur-Marne 94380. France</v>
      </c>
      <c r="AA2" s="5" t="str">
        <v>ZI du Trousset. Saint-Jean de Braye 45800. France</v>
      </c>
      <c r="AB2" s="5" t="str">
        <v>1 Cité Nouvelle. Trignac 44570. France</v>
      </c>
      <c r="AC2" s="5" t="str">
        <v>1 Rue Louis Blériot Bègles 33130. France</v>
      </c>
      <c r="AD2" s="5" t="str">
        <v>1 Rue Gustave Eiffel. Bergerac 24100. France</v>
      </c>
      <c r="AE2" s="5" t="str">
        <v>Brimont. Boé 47550. France</v>
      </c>
      <c r="AF2" s="5" t="str">
        <v>Avenue du Mistral. La Ciotat 13600. France</v>
      </c>
      <c r="AG2" s="5" t="str">
        <v>209. avenue de la Roudet. Libourne 33500. France</v>
      </c>
      <c r="AH2" s="5" t="str">
        <v>45. Avenue Frédéric et Irène Joliot Curie. Lons 64140. France</v>
      </c>
      <c r="AI2" s="5" t="str">
        <v>18 chemin Fenouillet. Toulouse 31200. France</v>
      </c>
      <c r="AJ2" s="5" t="str">
        <v>165 rue Alphonse Penaud. GUIPAVAS 29990. France</v>
      </c>
      <c r="AK2" s="5" t="str">
        <v>1 Rue du Fief. Amiens 80046. France</v>
      </c>
      <c r="AL2" s="5" t="str">
        <v>Cité navale. Couëron 44220. France</v>
      </c>
      <c r="AM2" s="5" t="str">
        <v>1 Rue Benoit Perret. Albens 73410. France</v>
      </c>
      <c r="AN2" s="5" t="str">
        <v>1 rue Benjamin Franklin. Gerzat 63360. France</v>
      </c>
      <c r="AO2" s="5" t="str">
        <v>La Bargette. St Priest en Jarez 42270. France</v>
      </c>
      <c r="AP2" s="5" t="str">
        <v>59 rue de l'Ile Gabourd. Voreppe 38340. France</v>
      </c>
      <c r="AQ2" s="5" t="str">
        <v>51490 Beine-Nauroy</v>
      </c>
      <c r="AR2" s="5" t="str">
        <v>1 Rue des Frères Lumière. Zone Portuaire Nord. Chalon sur Saône 71100. France</v>
      </c>
      <c r="AS2" s="5" t="str">
        <v>258 avenue René Jacot. Etupes 25460. France</v>
      </c>
      <c r="AT2" s="5" t="str">
        <v>Impasse des Taupières. Nevers 58000. France</v>
      </c>
      <c r="AU2" s="21" t="str">
        <v>Wissous, Voies des Jumeaux, 91320</v>
      </c>
      <c r="AV2" t="str">
        <v>ZI Auguste I Chemin du Grand Pas, 33610</v>
      </c>
      <c r="AW2" t="str">
        <v>Cannes la Bocca, ZI des Tourrades Roind-Poinit des Tourrades, 06150</v>
      </c>
    </row>
    <row r="3" spans="1:1061" x14ac:dyDescent="0.3">
      <c r="A3" t="s">
        <v>1440</v>
      </c>
      <c r="B3" s="5">
        <v>0</v>
      </c>
      <c r="C3" s="5">
        <v>0.36</v>
      </c>
      <c r="D3" s="5">
        <v>2.895</v>
      </c>
      <c r="E3" s="5">
        <v>0.74399999999999999</v>
      </c>
      <c r="F3" s="5">
        <v>0.79200000000000004</v>
      </c>
      <c r="G3" s="5">
        <v>0.45</v>
      </c>
      <c r="H3" s="5">
        <v>3.0710000000000002</v>
      </c>
      <c r="I3" s="5">
        <v>3.4319999999999999</v>
      </c>
      <c r="J3" s="5">
        <v>34.198999999999998</v>
      </c>
      <c r="K3" s="5">
        <v>34.255000000000003</v>
      </c>
      <c r="L3" s="5">
        <v>28.744</v>
      </c>
      <c r="M3" s="5">
        <v>514.00599999999997</v>
      </c>
      <c r="N3" s="5">
        <v>218.935</v>
      </c>
      <c r="O3" s="5">
        <v>282.55399999999997</v>
      </c>
      <c r="P3" s="5">
        <v>210.429</v>
      </c>
      <c r="Q3" s="5">
        <v>452.17399999999998</v>
      </c>
      <c r="R3" s="5">
        <v>99.466999999999999</v>
      </c>
      <c r="S3" s="5">
        <v>249.923</v>
      </c>
      <c r="T3" s="5">
        <v>300.22300000000001</v>
      </c>
      <c r="U3" s="5">
        <v>139.50899999999999</v>
      </c>
      <c r="V3" s="5">
        <v>490.73399999999998</v>
      </c>
      <c r="W3" s="5">
        <v>355.798</v>
      </c>
      <c r="X3" s="5">
        <v>787.43</v>
      </c>
      <c r="Y3" s="5">
        <v>772.94100000000003</v>
      </c>
      <c r="Z3" s="5">
        <v>23.513999999999999</v>
      </c>
      <c r="AA3" s="5">
        <v>135.096</v>
      </c>
      <c r="AB3" s="5">
        <v>434.56599999999997</v>
      </c>
      <c r="AC3" s="5">
        <v>587.36800000000005</v>
      </c>
      <c r="AD3" s="5">
        <v>589.22500000000002</v>
      </c>
      <c r="AE3" s="5">
        <v>720.08600000000001</v>
      </c>
      <c r="AF3" s="5">
        <v>808.54600000000005</v>
      </c>
      <c r="AG3" s="5">
        <v>552.5</v>
      </c>
      <c r="AH3" s="5">
        <v>790.53099999999995</v>
      </c>
      <c r="AI3" s="5">
        <v>673.88599999999997</v>
      </c>
      <c r="AJ3" s="5">
        <v>586.92200000000003</v>
      </c>
      <c r="AK3" s="5">
        <v>142.48500000000001</v>
      </c>
      <c r="AL3" s="5">
        <v>397.69299999999998</v>
      </c>
      <c r="AM3" s="5">
        <v>546.75199999999995</v>
      </c>
      <c r="AN3" s="5">
        <v>417.68599999999998</v>
      </c>
      <c r="AO3" s="5">
        <v>526.76499999999999</v>
      </c>
      <c r="AP3" s="5">
        <v>562.32899999999995</v>
      </c>
      <c r="AQ3" s="5">
        <v>164.72</v>
      </c>
      <c r="AR3" s="5">
        <v>340.18</v>
      </c>
      <c r="AS3" s="5">
        <v>484.57600000000002</v>
      </c>
      <c r="AT3" s="5">
        <v>244.28100000000001</v>
      </c>
      <c r="AU3">
        <v>20.173999999999999</v>
      </c>
      <c r="AV3">
        <v>604.23599999999999</v>
      </c>
      <c r="AW3">
        <v>899.15</v>
      </c>
    </row>
    <row r="4" spans="1:1061" x14ac:dyDescent="0.3">
      <c r="A4" t="s">
        <v>1441</v>
      </c>
      <c r="B4" s="5">
        <v>0.23300000000000001</v>
      </c>
      <c r="C4" s="5">
        <v>0</v>
      </c>
      <c r="D4" s="5">
        <v>3.0339999999999998</v>
      </c>
      <c r="E4" s="5">
        <v>0.88300000000000001</v>
      </c>
      <c r="F4" s="5">
        <v>0.46100000000000002</v>
      </c>
      <c r="G4" s="5">
        <v>0.58899999999999997</v>
      </c>
      <c r="H4" s="5">
        <v>3.21</v>
      </c>
      <c r="I4" s="5">
        <v>3.5710000000000002</v>
      </c>
      <c r="J4" s="5">
        <v>34.338000000000001</v>
      </c>
      <c r="K4" s="5">
        <v>34.393999999999998</v>
      </c>
      <c r="L4" s="5">
        <v>28.882999999999999</v>
      </c>
      <c r="M4" s="5">
        <v>514.14499999999998</v>
      </c>
      <c r="N4" s="5">
        <v>219.07400000000001</v>
      </c>
      <c r="O4" s="5">
        <v>282.69299999999998</v>
      </c>
      <c r="P4" s="5">
        <v>210.56800000000001</v>
      </c>
      <c r="Q4" s="5">
        <v>452.31299999999999</v>
      </c>
      <c r="R4" s="5">
        <v>99.605999999999995</v>
      </c>
      <c r="S4" s="5">
        <v>250.06200000000001</v>
      </c>
      <c r="T4" s="5">
        <v>300.36200000000002</v>
      </c>
      <c r="U4" s="5">
        <v>139.648</v>
      </c>
      <c r="V4" s="5">
        <v>490.87299999999999</v>
      </c>
      <c r="W4" s="5">
        <v>355.93700000000001</v>
      </c>
      <c r="X4" s="5">
        <v>787.56899999999996</v>
      </c>
      <c r="Y4" s="5">
        <v>773.08</v>
      </c>
      <c r="Z4" s="5">
        <v>23.652999999999999</v>
      </c>
      <c r="AA4" s="5">
        <v>135.23500000000001</v>
      </c>
      <c r="AB4" s="5">
        <v>434.70499999999998</v>
      </c>
      <c r="AC4" s="5">
        <v>587.50699999999995</v>
      </c>
      <c r="AD4" s="5">
        <v>589.36400000000003</v>
      </c>
      <c r="AE4" s="5">
        <v>720.22500000000002</v>
      </c>
      <c r="AF4" s="5">
        <v>808.68499999999995</v>
      </c>
      <c r="AG4" s="5">
        <v>552.63900000000001</v>
      </c>
      <c r="AH4" s="5">
        <v>790.67</v>
      </c>
      <c r="AI4" s="5">
        <v>674.02499999999998</v>
      </c>
      <c r="AJ4" s="5">
        <v>587.06100000000004</v>
      </c>
      <c r="AK4" s="5">
        <v>142.57</v>
      </c>
      <c r="AL4" s="5">
        <v>397.83199999999999</v>
      </c>
      <c r="AM4" s="5">
        <v>546.89099999999996</v>
      </c>
      <c r="AN4" s="5">
        <v>417.82499999999999</v>
      </c>
      <c r="AO4" s="5">
        <v>526.904</v>
      </c>
      <c r="AP4" s="5">
        <v>562.46799999999996</v>
      </c>
      <c r="AQ4" s="5">
        <v>164.85900000000001</v>
      </c>
      <c r="AR4" s="5">
        <v>340.31900000000002</v>
      </c>
      <c r="AS4" s="5">
        <v>484.71499999999997</v>
      </c>
      <c r="AT4" s="5">
        <v>244.42</v>
      </c>
      <c r="AU4">
        <v>20.312999999999999</v>
      </c>
      <c r="AV4">
        <v>604.375</v>
      </c>
      <c r="AW4">
        <v>899.28899999999999</v>
      </c>
    </row>
    <row r="5" spans="1:1061" x14ac:dyDescent="0.3">
      <c r="A5" t="s">
        <v>1442</v>
      </c>
      <c r="B5" s="5">
        <v>3.71</v>
      </c>
      <c r="C5" s="5">
        <v>3.79</v>
      </c>
      <c r="D5" s="5">
        <v>0</v>
      </c>
      <c r="E5" s="5">
        <v>2.4300000000000002</v>
      </c>
      <c r="F5" s="5">
        <v>4.0179999999999998</v>
      </c>
      <c r="G5" s="5">
        <v>3.2930000000000001</v>
      </c>
      <c r="H5" s="5">
        <v>0.68799999999999994</v>
      </c>
      <c r="I5" s="5">
        <v>4.577</v>
      </c>
      <c r="J5" s="5">
        <v>34.475999999999999</v>
      </c>
      <c r="K5" s="5">
        <v>34.531999999999996</v>
      </c>
      <c r="L5" s="5">
        <v>29.021000000000001</v>
      </c>
      <c r="M5" s="5">
        <v>523.19000000000005</v>
      </c>
      <c r="N5" s="5">
        <v>217.77</v>
      </c>
      <c r="O5" s="5">
        <v>281.38900000000001</v>
      </c>
      <c r="P5" s="5">
        <v>209.26400000000001</v>
      </c>
      <c r="Q5" s="5">
        <v>451.00900000000001</v>
      </c>
      <c r="R5" s="5">
        <v>98.302000000000007</v>
      </c>
      <c r="S5" s="5">
        <v>248.75800000000001</v>
      </c>
      <c r="T5" s="5">
        <v>299.05799999999999</v>
      </c>
      <c r="U5" s="5">
        <v>138.34399999999999</v>
      </c>
      <c r="V5" s="5">
        <v>489.56900000000002</v>
      </c>
      <c r="W5" s="5">
        <v>354.63299999999998</v>
      </c>
      <c r="X5" s="5">
        <v>792.40899999999999</v>
      </c>
      <c r="Y5" s="5">
        <v>777.92</v>
      </c>
      <c r="Z5" s="5">
        <v>32.698</v>
      </c>
      <c r="AA5" s="5">
        <v>133.93100000000001</v>
      </c>
      <c r="AB5" s="5">
        <v>433.40100000000001</v>
      </c>
      <c r="AC5" s="5">
        <v>586.20299999999997</v>
      </c>
      <c r="AD5" s="5">
        <v>588.05999999999995</v>
      </c>
      <c r="AE5" s="5">
        <v>718.92100000000005</v>
      </c>
      <c r="AF5" s="5">
        <v>813.52499999999998</v>
      </c>
      <c r="AG5" s="5">
        <v>551.33500000000004</v>
      </c>
      <c r="AH5" s="5">
        <v>789.36599999999999</v>
      </c>
      <c r="AI5" s="5">
        <v>672.721</v>
      </c>
      <c r="AJ5" s="5">
        <v>585.75699999999995</v>
      </c>
      <c r="AK5" s="5">
        <v>149.93799999999999</v>
      </c>
      <c r="AL5" s="5">
        <v>396.52800000000002</v>
      </c>
      <c r="AM5" s="5">
        <v>551.73099999999999</v>
      </c>
      <c r="AN5" s="5">
        <v>416.52100000000002</v>
      </c>
      <c r="AO5" s="5">
        <v>531.74400000000003</v>
      </c>
      <c r="AP5" s="5">
        <v>567.30799999999999</v>
      </c>
      <c r="AQ5" s="5">
        <v>173.904</v>
      </c>
      <c r="AR5" s="5">
        <v>345.15899999999999</v>
      </c>
      <c r="AS5" s="5">
        <v>489.55500000000001</v>
      </c>
      <c r="AT5" s="5">
        <v>249.26</v>
      </c>
      <c r="AU5">
        <v>25.152999999999999</v>
      </c>
      <c r="AV5">
        <v>603.07100000000003</v>
      </c>
      <c r="AW5">
        <v>904.12900000000002</v>
      </c>
    </row>
    <row r="6" spans="1:1061" x14ac:dyDescent="0.3">
      <c r="A6" t="s">
        <v>1443</v>
      </c>
      <c r="B6" s="5">
        <v>1.36</v>
      </c>
      <c r="C6" s="5">
        <v>1.5189999999999999</v>
      </c>
      <c r="D6" s="5">
        <v>1.9850000000000001</v>
      </c>
      <c r="E6" s="5">
        <v>0</v>
      </c>
      <c r="F6" s="5">
        <v>1.754</v>
      </c>
      <c r="G6" s="5">
        <v>1.7789999999999999</v>
      </c>
      <c r="H6" s="5">
        <v>2.0059999999999998</v>
      </c>
      <c r="I6" s="5">
        <v>3.968</v>
      </c>
      <c r="J6" s="5">
        <v>34.148000000000003</v>
      </c>
      <c r="K6" s="5">
        <v>34.204000000000001</v>
      </c>
      <c r="L6" s="5">
        <v>28.693000000000001</v>
      </c>
      <c r="M6" s="5">
        <v>514.54200000000003</v>
      </c>
      <c r="N6" s="5">
        <v>219.727</v>
      </c>
      <c r="O6" s="5">
        <v>283.346</v>
      </c>
      <c r="P6" s="5">
        <v>211.221</v>
      </c>
      <c r="Q6" s="5">
        <v>452.96600000000001</v>
      </c>
      <c r="R6" s="5">
        <v>100.259</v>
      </c>
      <c r="S6" s="5">
        <v>250.715</v>
      </c>
      <c r="T6" s="5">
        <v>301.01499999999999</v>
      </c>
      <c r="U6" s="5">
        <v>140.30099999999999</v>
      </c>
      <c r="V6" s="5">
        <v>491.52600000000001</v>
      </c>
      <c r="W6" s="5">
        <v>356.59</v>
      </c>
      <c r="X6" s="5">
        <v>787.11500000000001</v>
      </c>
      <c r="Y6" s="5">
        <v>772.62599999999998</v>
      </c>
      <c r="Z6" s="5">
        <v>24.05</v>
      </c>
      <c r="AA6" s="5">
        <v>135.88800000000001</v>
      </c>
      <c r="AB6" s="5">
        <v>435.358</v>
      </c>
      <c r="AC6" s="5">
        <v>588.16</v>
      </c>
      <c r="AD6" s="5">
        <v>590.01700000000005</v>
      </c>
      <c r="AE6" s="5">
        <v>720.87800000000004</v>
      </c>
      <c r="AF6" s="5">
        <v>808.23099999999999</v>
      </c>
      <c r="AG6" s="5">
        <v>553.29200000000003</v>
      </c>
      <c r="AH6" s="5">
        <v>791.32299999999998</v>
      </c>
      <c r="AI6" s="5">
        <v>674.678</v>
      </c>
      <c r="AJ6" s="5">
        <v>587.71400000000006</v>
      </c>
      <c r="AK6" s="5">
        <v>142.72200000000001</v>
      </c>
      <c r="AL6" s="5">
        <v>398.48500000000001</v>
      </c>
      <c r="AM6" s="5">
        <v>546.43700000000001</v>
      </c>
      <c r="AN6" s="5">
        <v>418.47800000000001</v>
      </c>
      <c r="AO6" s="5">
        <v>526.45000000000005</v>
      </c>
      <c r="AP6" s="5">
        <v>562.01400000000001</v>
      </c>
      <c r="AQ6" s="5">
        <v>165.256</v>
      </c>
      <c r="AR6" s="5">
        <v>339.86500000000001</v>
      </c>
      <c r="AS6" s="5">
        <v>484.26100000000002</v>
      </c>
      <c r="AT6" s="5">
        <v>243.96600000000001</v>
      </c>
      <c r="AU6">
        <v>19.859000000000002</v>
      </c>
      <c r="AV6">
        <v>605.02800000000002</v>
      </c>
      <c r="AW6">
        <v>898.83500000000004</v>
      </c>
    </row>
    <row r="7" spans="1:1061" x14ac:dyDescent="0.3">
      <c r="A7" s="32" t="s">
        <v>1444</v>
      </c>
      <c r="B7" s="5">
        <v>0.43099999999999999</v>
      </c>
      <c r="C7" s="5">
        <v>0.19700000000000001</v>
      </c>
      <c r="D7" s="5">
        <v>3.2320000000000002</v>
      </c>
      <c r="E7" s="5">
        <v>1.081</v>
      </c>
      <c r="F7" s="5">
        <v>0</v>
      </c>
      <c r="G7" s="5">
        <v>0.78700000000000003</v>
      </c>
      <c r="H7" s="5">
        <v>3.4079999999999999</v>
      </c>
      <c r="I7" s="5">
        <v>2.5880000000000001</v>
      </c>
      <c r="J7" s="5">
        <v>34.536000000000001</v>
      </c>
      <c r="K7" s="5">
        <v>34.591999999999999</v>
      </c>
      <c r="L7" s="5">
        <v>29.081</v>
      </c>
      <c r="M7" s="5">
        <v>513.16200000000003</v>
      </c>
      <c r="N7" s="5">
        <v>219.27199999999999</v>
      </c>
      <c r="O7" s="5">
        <v>282.89100000000002</v>
      </c>
      <c r="P7" s="5">
        <v>210.76599999999999</v>
      </c>
      <c r="Q7" s="5">
        <v>452.51100000000002</v>
      </c>
      <c r="R7" s="5">
        <v>99.804000000000002</v>
      </c>
      <c r="S7" s="5">
        <v>250.26</v>
      </c>
      <c r="T7" s="5">
        <v>300.56</v>
      </c>
      <c r="U7" s="5">
        <v>139.846</v>
      </c>
      <c r="V7" s="5">
        <v>491.07100000000003</v>
      </c>
      <c r="W7" s="5">
        <v>356.13499999999999</v>
      </c>
      <c r="X7" s="5">
        <v>787.76700000000005</v>
      </c>
      <c r="Y7" s="5">
        <v>773.27800000000002</v>
      </c>
      <c r="Z7" s="5">
        <v>22.67</v>
      </c>
      <c r="AA7" s="5">
        <v>135.43299999999999</v>
      </c>
      <c r="AB7" s="5">
        <v>434.90300000000002</v>
      </c>
      <c r="AC7" s="5">
        <v>587.70500000000004</v>
      </c>
      <c r="AD7" s="5">
        <v>589.56200000000001</v>
      </c>
      <c r="AE7" s="5">
        <v>720.423</v>
      </c>
      <c r="AF7" s="5">
        <v>808.88300000000004</v>
      </c>
      <c r="AG7" s="5">
        <v>552.83699999999999</v>
      </c>
      <c r="AH7" s="5">
        <v>790.86800000000005</v>
      </c>
      <c r="AI7" s="5">
        <v>674.22299999999996</v>
      </c>
      <c r="AJ7" s="5">
        <v>587.25900000000001</v>
      </c>
      <c r="AK7" s="5">
        <v>142.768</v>
      </c>
      <c r="AL7" s="5">
        <v>398.03</v>
      </c>
      <c r="AM7" s="5">
        <v>547.08900000000006</v>
      </c>
      <c r="AN7" s="5">
        <v>418.02300000000002</v>
      </c>
      <c r="AO7" s="5">
        <v>527.10199999999998</v>
      </c>
      <c r="AP7" s="5">
        <v>562.66600000000005</v>
      </c>
      <c r="AQ7" s="5">
        <v>163.876</v>
      </c>
      <c r="AR7" s="5">
        <v>340.517</v>
      </c>
      <c r="AS7" s="5">
        <v>484.91300000000001</v>
      </c>
      <c r="AT7" s="5">
        <v>244.61799999999999</v>
      </c>
      <c r="AU7">
        <v>20.510999999999999</v>
      </c>
      <c r="AV7">
        <v>604.57299999999998</v>
      </c>
      <c r="AW7">
        <v>899.48699999999997</v>
      </c>
    </row>
    <row r="8" spans="1:1061" x14ac:dyDescent="0.3">
      <c r="A8" s="32" t="s">
        <v>1445</v>
      </c>
      <c r="B8" s="5">
        <v>0.49</v>
      </c>
      <c r="C8" s="5">
        <v>0.56999999999999995</v>
      </c>
      <c r="D8" s="5">
        <v>3.0459999999999998</v>
      </c>
      <c r="E8" s="5">
        <v>1.2350000000000001</v>
      </c>
      <c r="F8" s="5">
        <v>1.032</v>
      </c>
      <c r="G8" s="5">
        <v>0</v>
      </c>
      <c r="H8" s="5">
        <v>3.222</v>
      </c>
      <c r="I8" s="5">
        <v>2.5939999999999999</v>
      </c>
      <c r="J8" s="5">
        <v>34.552</v>
      </c>
      <c r="K8" s="5">
        <v>34.607999999999997</v>
      </c>
      <c r="L8" s="5">
        <v>29.097000000000001</v>
      </c>
      <c r="M8" s="5">
        <v>513.4</v>
      </c>
      <c r="N8" s="5">
        <v>220.78800000000001</v>
      </c>
      <c r="O8" s="5">
        <v>284.40699999999998</v>
      </c>
      <c r="P8" s="5">
        <v>212.28200000000001</v>
      </c>
      <c r="Q8" s="5">
        <v>454.02699999999999</v>
      </c>
      <c r="R8" s="5">
        <v>101.32</v>
      </c>
      <c r="S8" s="5">
        <v>251.77600000000001</v>
      </c>
      <c r="T8" s="5">
        <v>302.07600000000002</v>
      </c>
      <c r="U8" s="5">
        <v>141.36199999999999</v>
      </c>
      <c r="V8" s="5">
        <v>492.58699999999999</v>
      </c>
      <c r="W8" s="5">
        <v>357.65100000000001</v>
      </c>
      <c r="X8" s="5">
        <v>795.42700000000002</v>
      </c>
      <c r="Y8" s="5">
        <v>780.93799999999999</v>
      </c>
      <c r="Z8" s="5">
        <v>22.908000000000001</v>
      </c>
      <c r="AA8" s="5">
        <v>136.94900000000001</v>
      </c>
      <c r="AB8" s="5">
        <v>436.41899999999998</v>
      </c>
      <c r="AC8" s="5">
        <v>589.221</v>
      </c>
      <c r="AD8" s="5">
        <v>591.07799999999997</v>
      </c>
      <c r="AE8" s="5">
        <v>721.93899999999996</v>
      </c>
      <c r="AF8" s="5">
        <v>816.54300000000001</v>
      </c>
      <c r="AG8" s="5">
        <v>554.35299999999995</v>
      </c>
      <c r="AH8" s="5">
        <v>792.38400000000001</v>
      </c>
      <c r="AI8" s="5">
        <v>675.73900000000003</v>
      </c>
      <c r="AJ8" s="5">
        <v>588.77499999999998</v>
      </c>
      <c r="AK8" s="5">
        <v>142.512</v>
      </c>
      <c r="AL8" s="5">
        <v>399.54599999999999</v>
      </c>
      <c r="AM8" s="5">
        <v>554.74900000000002</v>
      </c>
      <c r="AN8" s="5">
        <v>419.53899999999999</v>
      </c>
      <c r="AO8" s="5">
        <v>534.76199999999994</v>
      </c>
      <c r="AP8" s="5">
        <v>570.32600000000002</v>
      </c>
      <c r="AQ8" s="5">
        <v>164.114</v>
      </c>
      <c r="AR8" s="5">
        <v>348.17700000000002</v>
      </c>
      <c r="AS8" s="5">
        <v>492.57299999999998</v>
      </c>
      <c r="AT8" s="5">
        <v>252.27799999999999</v>
      </c>
      <c r="AU8">
        <v>28.170999999999999</v>
      </c>
      <c r="AV8">
        <v>606.08900000000006</v>
      </c>
      <c r="AW8">
        <v>907.14700000000005</v>
      </c>
    </row>
    <row r="9" spans="1:1061" x14ac:dyDescent="0.3">
      <c r="A9" s="32" t="s">
        <v>1446</v>
      </c>
      <c r="B9" s="5">
        <v>2.76</v>
      </c>
      <c r="C9" s="5">
        <v>2.84</v>
      </c>
      <c r="D9" s="5">
        <v>1.0589999999999999</v>
      </c>
      <c r="E9" s="5">
        <v>2.5459999999999998</v>
      </c>
      <c r="F9" s="5">
        <v>3.0680000000000001</v>
      </c>
      <c r="G9" s="5">
        <v>2.343</v>
      </c>
      <c r="H9" s="5">
        <v>0</v>
      </c>
      <c r="I9" s="5">
        <v>3.79</v>
      </c>
      <c r="J9" s="5">
        <v>35.320999999999998</v>
      </c>
      <c r="K9" s="5">
        <v>35.377000000000002</v>
      </c>
      <c r="L9" s="5">
        <v>29.866</v>
      </c>
      <c r="M9" s="5">
        <v>524.03499999999997</v>
      </c>
      <c r="N9" s="5">
        <v>218.61500000000001</v>
      </c>
      <c r="O9" s="5">
        <v>282.23399999999998</v>
      </c>
      <c r="P9" s="5">
        <v>210.10900000000001</v>
      </c>
      <c r="Q9" s="5">
        <v>451.85399999999998</v>
      </c>
      <c r="R9" s="5">
        <v>99.147000000000006</v>
      </c>
      <c r="S9" s="5">
        <v>249.60300000000001</v>
      </c>
      <c r="T9" s="5">
        <v>299.90300000000002</v>
      </c>
      <c r="U9" s="5">
        <v>139.18899999999999</v>
      </c>
      <c r="V9" s="5">
        <v>490.41399999999999</v>
      </c>
      <c r="W9" s="5">
        <v>355.47800000000001</v>
      </c>
      <c r="X9" s="5">
        <v>793.25400000000002</v>
      </c>
      <c r="Y9" s="5">
        <v>778.76499999999999</v>
      </c>
      <c r="Z9" s="5">
        <v>33.542999999999999</v>
      </c>
      <c r="AA9" s="5">
        <v>134.77600000000001</v>
      </c>
      <c r="AB9" s="5">
        <v>434.24599999999998</v>
      </c>
      <c r="AC9" s="5">
        <v>587.048</v>
      </c>
      <c r="AD9" s="5">
        <v>588.90499999999997</v>
      </c>
      <c r="AE9" s="5">
        <v>719.76599999999996</v>
      </c>
      <c r="AF9" s="5">
        <v>814.37</v>
      </c>
      <c r="AG9" s="5">
        <v>552.17999999999995</v>
      </c>
      <c r="AH9" s="5">
        <v>790.21100000000001</v>
      </c>
      <c r="AI9" s="5">
        <v>673.56600000000003</v>
      </c>
      <c r="AJ9" s="5">
        <v>586.60199999999998</v>
      </c>
      <c r="AK9" s="5">
        <v>150.78299999999999</v>
      </c>
      <c r="AL9" s="5">
        <v>397.37299999999999</v>
      </c>
      <c r="AM9" s="5">
        <v>552.57600000000002</v>
      </c>
      <c r="AN9" s="5">
        <v>417.36599999999999</v>
      </c>
      <c r="AO9" s="5">
        <v>532.58900000000006</v>
      </c>
      <c r="AP9" s="5">
        <v>568.15300000000002</v>
      </c>
      <c r="AQ9" s="5">
        <v>174.749</v>
      </c>
      <c r="AR9" s="5">
        <v>346.00400000000002</v>
      </c>
      <c r="AS9" s="5">
        <v>490.4</v>
      </c>
      <c r="AT9" s="5">
        <v>250.10499999999999</v>
      </c>
      <c r="AU9">
        <v>25.998000000000001</v>
      </c>
      <c r="AV9">
        <v>603.91600000000005</v>
      </c>
      <c r="AW9">
        <v>904.97400000000005</v>
      </c>
    </row>
    <row r="10" spans="1:1061" x14ac:dyDescent="0.3">
      <c r="A10" s="32" t="s">
        <v>1447</v>
      </c>
      <c r="B10" s="5">
        <v>1.899</v>
      </c>
      <c r="C10" s="5">
        <v>1.7729999999999999</v>
      </c>
      <c r="D10" s="5">
        <v>4.9470000000000001</v>
      </c>
      <c r="E10" s="5">
        <v>2.3839999999999999</v>
      </c>
      <c r="F10" s="5">
        <v>1.78</v>
      </c>
      <c r="G10" s="5">
        <v>2.1930000000000001</v>
      </c>
      <c r="H10" s="5">
        <v>3.895</v>
      </c>
      <c r="I10" s="5">
        <v>0</v>
      </c>
      <c r="J10" s="5">
        <v>38.527999999999999</v>
      </c>
      <c r="K10" s="5">
        <v>38.584000000000003</v>
      </c>
      <c r="L10" s="5">
        <v>33.073</v>
      </c>
      <c r="M10" s="5">
        <v>512.41700000000003</v>
      </c>
      <c r="N10" s="5">
        <v>219.49799999999999</v>
      </c>
      <c r="O10" s="5">
        <v>283.11700000000002</v>
      </c>
      <c r="P10" s="5">
        <v>210.99199999999999</v>
      </c>
      <c r="Q10" s="5">
        <v>452.73700000000002</v>
      </c>
      <c r="R10" s="5">
        <v>100.03</v>
      </c>
      <c r="S10" s="5">
        <v>250.48599999999999</v>
      </c>
      <c r="T10" s="5">
        <v>300.786</v>
      </c>
      <c r="U10" s="5">
        <v>140.072</v>
      </c>
      <c r="V10" s="5">
        <v>491.29700000000003</v>
      </c>
      <c r="W10" s="5">
        <v>356.36099999999999</v>
      </c>
      <c r="X10" s="5">
        <v>786.41399999999999</v>
      </c>
      <c r="Y10" s="5">
        <v>771.92499999999995</v>
      </c>
      <c r="Z10" s="5">
        <v>21.925000000000001</v>
      </c>
      <c r="AA10" s="5">
        <v>135.65899999999999</v>
      </c>
      <c r="AB10" s="5">
        <v>435.12900000000002</v>
      </c>
      <c r="AC10" s="5">
        <v>587.93100000000004</v>
      </c>
      <c r="AD10" s="5">
        <v>589.78800000000001</v>
      </c>
      <c r="AE10" s="5">
        <v>720.649</v>
      </c>
      <c r="AF10" s="5">
        <v>807.53</v>
      </c>
      <c r="AG10" s="5">
        <v>553.06299999999999</v>
      </c>
      <c r="AH10" s="5">
        <v>791.09400000000005</v>
      </c>
      <c r="AI10" s="5">
        <v>674.44899999999996</v>
      </c>
      <c r="AJ10" s="5">
        <v>587.48500000000001</v>
      </c>
      <c r="AK10" s="5">
        <v>153.99</v>
      </c>
      <c r="AL10" s="5">
        <v>398.25599999999997</v>
      </c>
      <c r="AM10" s="5">
        <v>545.73599999999999</v>
      </c>
      <c r="AN10" s="5">
        <v>418.24900000000002</v>
      </c>
      <c r="AO10" s="5">
        <v>525.74900000000002</v>
      </c>
      <c r="AP10" s="5">
        <v>561.31299999999999</v>
      </c>
      <c r="AQ10" s="5">
        <v>163.131</v>
      </c>
      <c r="AR10" s="5">
        <v>339.16399999999999</v>
      </c>
      <c r="AS10" s="5">
        <v>483.56</v>
      </c>
      <c r="AT10" s="5">
        <v>243.26499999999999</v>
      </c>
      <c r="AU10">
        <v>22.286000000000001</v>
      </c>
      <c r="AV10">
        <v>604.79899999999998</v>
      </c>
      <c r="AW10">
        <v>898.13400000000001</v>
      </c>
    </row>
    <row r="11" spans="1:1061" x14ac:dyDescent="0.3">
      <c r="A11" s="32" t="s">
        <v>1448</v>
      </c>
      <c r="B11" s="5">
        <v>29.991</v>
      </c>
      <c r="C11" s="5">
        <v>30.071000000000002</v>
      </c>
      <c r="D11" s="5">
        <v>34.89</v>
      </c>
      <c r="E11" s="5">
        <v>33.317</v>
      </c>
      <c r="F11" s="5">
        <v>30.533000000000001</v>
      </c>
      <c r="G11" s="5">
        <v>30.657</v>
      </c>
      <c r="H11" s="5">
        <v>35.329000000000001</v>
      </c>
      <c r="I11" s="5">
        <v>36.978999999999999</v>
      </c>
      <c r="J11" s="5">
        <v>0</v>
      </c>
      <c r="K11" s="5">
        <v>0.23599999999999999</v>
      </c>
      <c r="L11" s="5">
        <v>8.2149999999999999</v>
      </c>
      <c r="M11" s="5">
        <v>501.72</v>
      </c>
      <c r="N11" s="5">
        <v>244.63</v>
      </c>
      <c r="O11" s="5">
        <v>308.24900000000002</v>
      </c>
      <c r="P11" s="5">
        <v>236.124</v>
      </c>
      <c r="Q11" s="5">
        <v>477.86900000000003</v>
      </c>
      <c r="R11" s="5">
        <v>125.16200000000001</v>
      </c>
      <c r="S11" s="5">
        <v>275.61799999999999</v>
      </c>
      <c r="T11" s="5">
        <v>325.91800000000001</v>
      </c>
      <c r="U11" s="5">
        <v>165.20400000000001</v>
      </c>
      <c r="V11" s="5">
        <v>516.42899999999997</v>
      </c>
      <c r="W11" s="5">
        <v>381.49299999999999</v>
      </c>
      <c r="X11" s="5">
        <v>814.26800000000003</v>
      </c>
      <c r="Y11" s="5">
        <v>799.779</v>
      </c>
      <c r="Z11" s="5">
        <v>42.494</v>
      </c>
      <c r="AA11" s="5">
        <v>160.791</v>
      </c>
      <c r="AB11" s="5">
        <v>460.26100000000002</v>
      </c>
      <c r="AC11" s="5">
        <v>613.06299999999999</v>
      </c>
      <c r="AD11" s="5">
        <v>614.91999999999996</v>
      </c>
      <c r="AE11" s="5">
        <v>745.78099999999995</v>
      </c>
      <c r="AF11" s="5">
        <v>835.38400000000001</v>
      </c>
      <c r="AG11" s="5">
        <v>578.19500000000005</v>
      </c>
      <c r="AH11" s="5">
        <v>816.226</v>
      </c>
      <c r="AI11" s="5">
        <v>699.58100000000002</v>
      </c>
      <c r="AJ11" s="5">
        <v>612.61699999999996</v>
      </c>
      <c r="AK11" s="5">
        <v>140.55600000000001</v>
      </c>
      <c r="AL11" s="5">
        <v>423.38799999999998</v>
      </c>
      <c r="AM11" s="5">
        <v>573.59</v>
      </c>
      <c r="AN11" s="5">
        <v>443.38099999999997</v>
      </c>
      <c r="AO11" s="5">
        <v>553.60299999999995</v>
      </c>
      <c r="AP11" s="5">
        <v>589.16700000000003</v>
      </c>
      <c r="AQ11" s="5">
        <v>152.434</v>
      </c>
      <c r="AR11" s="5">
        <v>367.01799999999997</v>
      </c>
      <c r="AS11" s="5">
        <v>518.91099999999994</v>
      </c>
      <c r="AT11" s="5">
        <v>271.11900000000003</v>
      </c>
      <c r="AU11">
        <v>49.241</v>
      </c>
      <c r="AV11">
        <v>629.93100000000004</v>
      </c>
      <c r="AW11">
        <v>925.98800000000006</v>
      </c>
    </row>
    <row r="12" spans="1:1061" x14ac:dyDescent="0.3">
      <c r="A12" s="32" t="s">
        <v>1449</v>
      </c>
      <c r="B12" s="5">
        <v>30.381</v>
      </c>
      <c r="C12" s="5">
        <v>30.460999999999999</v>
      </c>
      <c r="D12" s="5">
        <v>35.28</v>
      </c>
      <c r="E12" s="5">
        <v>33.707000000000001</v>
      </c>
      <c r="F12" s="5">
        <v>30.922999999999998</v>
      </c>
      <c r="G12" s="5">
        <v>31.047000000000001</v>
      </c>
      <c r="H12" s="5">
        <v>35.719000000000001</v>
      </c>
      <c r="I12" s="5">
        <v>37.369</v>
      </c>
      <c r="J12" s="5">
        <v>0.55400000000000005</v>
      </c>
      <c r="K12" s="5">
        <v>0</v>
      </c>
      <c r="L12" s="5">
        <v>8.6050000000000004</v>
      </c>
      <c r="M12" s="5">
        <v>502.11</v>
      </c>
      <c r="N12" s="5">
        <v>245.02</v>
      </c>
      <c r="O12" s="5">
        <v>308.63900000000001</v>
      </c>
      <c r="P12" s="5">
        <v>236.51400000000001</v>
      </c>
      <c r="Q12" s="5">
        <v>478.25900000000001</v>
      </c>
      <c r="R12" s="5">
        <v>125.55200000000001</v>
      </c>
      <c r="S12" s="5">
        <v>276.00799999999998</v>
      </c>
      <c r="T12" s="5">
        <v>326.30799999999999</v>
      </c>
      <c r="U12" s="5">
        <v>165.59399999999999</v>
      </c>
      <c r="V12" s="5">
        <v>516.81899999999996</v>
      </c>
      <c r="W12" s="5">
        <v>381.88299999999998</v>
      </c>
      <c r="X12" s="5">
        <v>814.65800000000002</v>
      </c>
      <c r="Y12" s="5">
        <v>800.16899999999998</v>
      </c>
      <c r="Z12" s="5">
        <v>42.884</v>
      </c>
      <c r="AA12" s="5">
        <v>161.18100000000001</v>
      </c>
      <c r="AB12" s="5">
        <v>460.65100000000001</v>
      </c>
      <c r="AC12" s="5">
        <v>613.45299999999997</v>
      </c>
      <c r="AD12" s="5">
        <v>615.30999999999995</v>
      </c>
      <c r="AE12" s="5">
        <v>746.17100000000005</v>
      </c>
      <c r="AF12" s="5">
        <v>835.774</v>
      </c>
      <c r="AG12" s="5">
        <v>578.58500000000004</v>
      </c>
      <c r="AH12" s="5">
        <v>816.61599999999999</v>
      </c>
      <c r="AI12" s="5">
        <v>699.971</v>
      </c>
      <c r="AJ12" s="5">
        <v>613.00699999999995</v>
      </c>
      <c r="AK12" s="5">
        <v>140.946</v>
      </c>
      <c r="AL12" s="5">
        <v>423.77800000000002</v>
      </c>
      <c r="AM12" s="5">
        <v>573.98</v>
      </c>
      <c r="AN12" s="5">
        <v>443.77100000000002</v>
      </c>
      <c r="AO12" s="5">
        <v>553.99300000000005</v>
      </c>
      <c r="AP12" s="5">
        <v>589.55700000000002</v>
      </c>
      <c r="AQ12" s="5">
        <v>152.82400000000001</v>
      </c>
      <c r="AR12" s="5">
        <v>367.40800000000002</v>
      </c>
      <c r="AS12" s="5">
        <v>519.30100000000004</v>
      </c>
      <c r="AT12" s="5">
        <v>271.50900000000001</v>
      </c>
      <c r="AU12">
        <v>49.631</v>
      </c>
      <c r="AV12">
        <v>630.32100000000003</v>
      </c>
      <c r="AW12">
        <v>926.37800000000004</v>
      </c>
    </row>
    <row r="13" spans="1:1061" x14ac:dyDescent="0.3">
      <c r="A13" s="32" t="s">
        <v>1450</v>
      </c>
      <c r="B13" s="5">
        <v>26.614999999999998</v>
      </c>
      <c r="C13" s="5">
        <v>26.695</v>
      </c>
      <c r="D13" s="5">
        <v>31.513999999999999</v>
      </c>
      <c r="E13" s="5">
        <v>29.940999999999999</v>
      </c>
      <c r="F13" s="5">
        <v>27.157</v>
      </c>
      <c r="G13" s="5">
        <v>27.280999999999999</v>
      </c>
      <c r="H13" s="5">
        <v>31.952999999999999</v>
      </c>
      <c r="I13" s="5">
        <v>33.603000000000002</v>
      </c>
      <c r="J13" s="5">
        <v>6.65</v>
      </c>
      <c r="K13" s="5">
        <v>6.7060000000000004</v>
      </c>
      <c r="L13" s="5">
        <v>0</v>
      </c>
      <c r="M13" s="5">
        <v>513.08799999999997</v>
      </c>
      <c r="N13" s="5">
        <v>241.25399999999999</v>
      </c>
      <c r="O13" s="5">
        <v>304.87299999999999</v>
      </c>
      <c r="P13" s="5">
        <v>232.74799999999999</v>
      </c>
      <c r="Q13" s="5">
        <v>474.49299999999999</v>
      </c>
      <c r="R13" s="5">
        <v>121.786</v>
      </c>
      <c r="S13" s="5">
        <v>272.24200000000002</v>
      </c>
      <c r="T13" s="5">
        <v>322.54199999999997</v>
      </c>
      <c r="U13" s="5">
        <v>161.828</v>
      </c>
      <c r="V13" s="5">
        <v>513.053</v>
      </c>
      <c r="W13" s="5">
        <v>378.11700000000002</v>
      </c>
      <c r="X13" s="5">
        <v>810.89200000000005</v>
      </c>
      <c r="Y13" s="5">
        <v>796.40300000000002</v>
      </c>
      <c r="Z13" s="5">
        <v>39.118000000000002</v>
      </c>
      <c r="AA13" s="5">
        <v>157.41499999999999</v>
      </c>
      <c r="AB13" s="5">
        <v>456.88499999999999</v>
      </c>
      <c r="AC13" s="5">
        <v>609.68700000000001</v>
      </c>
      <c r="AD13" s="5">
        <v>611.54399999999998</v>
      </c>
      <c r="AE13" s="5">
        <v>742.40499999999997</v>
      </c>
      <c r="AF13" s="5">
        <v>832.00800000000004</v>
      </c>
      <c r="AG13" s="5">
        <v>574.81899999999996</v>
      </c>
      <c r="AH13" s="5">
        <v>812.85</v>
      </c>
      <c r="AI13" s="5">
        <v>696.20500000000004</v>
      </c>
      <c r="AJ13" s="5">
        <v>609.24099999999999</v>
      </c>
      <c r="AK13" s="5">
        <v>137.18</v>
      </c>
      <c r="AL13" s="5">
        <v>420.012</v>
      </c>
      <c r="AM13" s="5">
        <v>570.21400000000006</v>
      </c>
      <c r="AN13" s="5">
        <v>440.005</v>
      </c>
      <c r="AO13" s="5">
        <v>550.22699999999998</v>
      </c>
      <c r="AP13" s="5">
        <v>585.79100000000005</v>
      </c>
      <c r="AQ13" s="5">
        <v>163.80199999999999</v>
      </c>
      <c r="AR13" s="5">
        <v>363.642</v>
      </c>
      <c r="AS13" s="5">
        <v>508.03800000000001</v>
      </c>
      <c r="AT13" s="5">
        <v>267.74299999999999</v>
      </c>
      <c r="AU13">
        <v>45.865000000000002</v>
      </c>
      <c r="AV13">
        <v>626.55499999999995</v>
      </c>
      <c r="AW13">
        <v>922.61199999999997</v>
      </c>
    </row>
    <row r="14" spans="1:1061" x14ac:dyDescent="0.3">
      <c r="A14" s="5" t="s">
        <v>30</v>
      </c>
      <c r="B14" s="5">
        <v>512.62900000000002</v>
      </c>
      <c r="C14" s="5">
        <v>512.50300000000004</v>
      </c>
      <c r="D14" s="5">
        <v>523.077</v>
      </c>
      <c r="E14" s="5">
        <v>513.11400000000003</v>
      </c>
      <c r="F14" s="5">
        <v>512.51</v>
      </c>
      <c r="G14" s="5">
        <v>512.923</v>
      </c>
      <c r="H14" s="5">
        <v>514.625</v>
      </c>
      <c r="I14" s="5">
        <v>510.72899999999998</v>
      </c>
      <c r="J14" s="5">
        <v>503.101</v>
      </c>
      <c r="K14" s="5">
        <v>503.15699999999998</v>
      </c>
      <c r="L14" s="5">
        <v>514.10299999999995</v>
      </c>
      <c r="M14" s="5">
        <v>0</v>
      </c>
      <c r="N14" s="5">
        <v>692.27099999999996</v>
      </c>
      <c r="O14" s="5">
        <v>660.21</v>
      </c>
      <c r="P14" s="5">
        <v>683.76499999999999</v>
      </c>
      <c r="Q14" s="5">
        <v>951.15499999999997</v>
      </c>
      <c r="R14" s="5">
        <v>598.44799999999998</v>
      </c>
      <c r="S14" s="5">
        <v>560.64599999999996</v>
      </c>
      <c r="T14" s="5">
        <v>799.20399999999995</v>
      </c>
      <c r="U14" s="5">
        <v>612.84500000000003</v>
      </c>
      <c r="V14" s="5">
        <v>989.71500000000003</v>
      </c>
      <c r="W14" s="5">
        <v>854.779</v>
      </c>
      <c r="X14" s="5">
        <v>792.44899999999996</v>
      </c>
      <c r="Y14" s="5">
        <v>777.96</v>
      </c>
      <c r="Z14" s="5">
        <v>511.46800000000002</v>
      </c>
      <c r="AA14" s="5">
        <v>608.43200000000002</v>
      </c>
      <c r="AB14" s="5">
        <v>933.54700000000003</v>
      </c>
      <c r="AC14" s="5">
        <v>922.95500000000004</v>
      </c>
      <c r="AD14" s="5">
        <v>836.79600000000005</v>
      </c>
      <c r="AE14" s="5">
        <v>961.03200000000004</v>
      </c>
      <c r="AF14" s="5">
        <v>813.56500000000005</v>
      </c>
      <c r="AG14" s="5">
        <v>885.77300000000002</v>
      </c>
      <c r="AH14" s="5">
        <v>1126.1179999999999</v>
      </c>
      <c r="AI14" s="5">
        <v>921.45699999999999</v>
      </c>
      <c r="AJ14" s="5">
        <v>1085.903</v>
      </c>
      <c r="AK14" s="5">
        <v>545.12</v>
      </c>
      <c r="AL14" s="5">
        <v>896.67399999999998</v>
      </c>
      <c r="AM14" s="5">
        <v>427.31299999999999</v>
      </c>
      <c r="AN14" s="5">
        <v>607.95899999999995</v>
      </c>
      <c r="AO14" s="5">
        <v>531.78399999999999</v>
      </c>
      <c r="AP14" s="5">
        <v>542.30799999999999</v>
      </c>
      <c r="AQ14" s="5">
        <v>378.49200000000002</v>
      </c>
      <c r="AR14" s="5">
        <v>348.51499999999999</v>
      </c>
      <c r="AS14" s="5">
        <v>148.01499999999999</v>
      </c>
      <c r="AT14" s="5">
        <v>473.38499999999999</v>
      </c>
      <c r="AU14">
        <v>518.21500000000003</v>
      </c>
      <c r="AV14">
        <v>939.82299999999998</v>
      </c>
      <c r="AW14">
        <v>803.30200000000002</v>
      </c>
    </row>
    <row r="15" spans="1:1061" x14ac:dyDescent="0.3">
      <c r="A15" s="5" t="s">
        <v>33</v>
      </c>
      <c r="B15" s="5">
        <v>220.078</v>
      </c>
      <c r="C15" s="5">
        <v>219.952</v>
      </c>
      <c r="D15" s="5">
        <v>218.14599999999999</v>
      </c>
      <c r="E15" s="5">
        <v>218.43600000000001</v>
      </c>
      <c r="F15" s="5">
        <v>219.959</v>
      </c>
      <c r="G15" s="5">
        <v>220.54400000000001</v>
      </c>
      <c r="H15" s="5">
        <v>218.58500000000001</v>
      </c>
      <c r="I15" s="5">
        <v>218.178</v>
      </c>
      <c r="J15" s="5">
        <v>245.983</v>
      </c>
      <c r="K15" s="5">
        <v>246.03899999999999</v>
      </c>
      <c r="L15" s="5">
        <v>240.52799999999999</v>
      </c>
      <c r="M15" s="5">
        <v>715.78899999999999</v>
      </c>
      <c r="N15" s="5">
        <v>0</v>
      </c>
      <c r="O15" s="5">
        <v>71.504000000000005</v>
      </c>
      <c r="P15" s="5">
        <v>58.807000000000002</v>
      </c>
      <c r="Q15" s="5">
        <v>484.56400000000002</v>
      </c>
      <c r="R15" s="5">
        <v>166.136</v>
      </c>
      <c r="S15" s="5">
        <v>37.884</v>
      </c>
      <c r="T15" s="5">
        <v>243.87899999999999</v>
      </c>
      <c r="U15" s="5">
        <v>96.325999999999993</v>
      </c>
      <c r="V15" s="5">
        <v>478.73399999999998</v>
      </c>
      <c r="W15" s="5">
        <v>388.18799999999999</v>
      </c>
      <c r="X15" s="5">
        <v>683.40599999999995</v>
      </c>
      <c r="Y15" s="5">
        <v>668.91700000000003</v>
      </c>
      <c r="Z15" s="5">
        <v>219.63499999999999</v>
      </c>
      <c r="AA15" s="5">
        <v>104.078</v>
      </c>
      <c r="AB15" s="5">
        <v>378.22199999999998</v>
      </c>
      <c r="AC15" s="5">
        <v>402.98200000000003</v>
      </c>
      <c r="AD15" s="5">
        <v>378.17500000000001</v>
      </c>
      <c r="AE15" s="5">
        <v>502.411</v>
      </c>
      <c r="AF15" s="5">
        <v>704.52200000000005</v>
      </c>
      <c r="AG15" s="5">
        <v>427.15199999999999</v>
      </c>
      <c r="AH15" s="5">
        <v>606.14499999999998</v>
      </c>
      <c r="AI15" s="5">
        <v>462.83600000000001</v>
      </c>
      <c r="AJ15" s="5">
        <v>614.04200000000003</v>
      </c>
      <c r="AK15" s="5">
        <v>365.45</v>
      </c>
      <c r="AL15" s="5">
        <v>341.34899999999999</v>
      </c>
      <c r="AM15" s="5">
        <v>482.38</v>
      </c>
      <c r="AN15" s="5">
        <v>205.64699999999999</v>
      </c>
      <c r="AO15" s="5">
        <v>338.19499999999999</v>
      </c>
      <c r="AP15" s="5">
        <v>457.41199999999998</v>
      </c>
      <c r="AQ15" s="5">
        <v>369.44900000000001</v>
      </c>
      <c r="AR15" s="5">
        <v>314.43799999999999</v>
      </c>
      <c r="AS15" s="5">
        <v>570.029</v>
      </c>
      <c r="AT15" s="5">
        <v>116.74299999999999</v>
      </c>
      <c r="AU15">
        <v>203.74700000000001</v>
      </c>
      <c r="AV15">
        <v>419.85</v>
      </c>
      <c r="AW15">
        <v>795.12599999999998</v>
      </c>
    </row>
    <row r="16" spans="1:1061" x14ac:dyDescent="0.3">
      <c r="A16" s="5" t="s">
        <v>36</v>
      </c>
      <c r="B16" s="5">
        <v>282.76400000000001</v>
      </c>
      <c r="C16" s="5">
        <v>282.63799999999998</v>
      </c>
      <c r="D16" s="5">
        <v>280.83199999999999</v>
      </c>
      <c r="E16" s="5">
        <v>281.12200000000001</v>
      </c>
      <c r="F16" s="5">
        <v>282.64499999999998</v>
      </c>
      <c r="G16" s="5">
        <v>283.23</v>
      </c>
      <c r="H16" s="5">
        <v>281.27100000000002</v>
      </c>
      <c r="I16" s="5">
        <v>280.86399999999998</v>
      </c>
      <c r="J16" s="5">
        <v>308.66899999999998</v>
      </c>
      <c r="K16" s="5">
        <v>308.72500000000002</v>
      </c>
      <c r="L16" s="5">
        <v>303.214</v>
      </c>
      <c r="M16" s="5">
        <v>662.11</v>
      </c>
      <c r="N16" s="5">
        <v>72.150000000000006</v>
      </c>
      <c r="O16" s="5">
        <v>0</v>
      </c>
      <c r="P16" s="5">
        <v>121.49299999999999</v>
      </c>
      <c r="Q16" s="5">
        <v>547.25</v>
      </c>
      <c r="R16" s="5">
        <v>228.822</v>
      </c>
      <c r="S16" s="5">
        <v>112.711</v>
      </c>
      <c r="T16" s="5">
        <v>306.565</v>
      </c>
      <c r="U16" s="5">
        <v>159.012</v>
      </c>
      <c r="V16" s="5">
        <v>541.41999999999996</v>
      </c>
      <c r="W16" s="5">
        <v>450.87400000000002</v>
      </c>
      <c r="X16" s="5">
        <v>681.81899999999996</v>
      </c>
      <c r="Y16" s="5">
        <v>667.33</v>
      </c>
      <c r="Z16" s="5">
        <v>282.32100000000003</v>
      </c>
      <c r="AA16" s="5">
        <v>166.76400000000001</v>
      </c>
      <c r="AB16" s="5">
        <v>440.90800000000002</v>
      </c>
      <c r="AC16" s="5">
        <v>338.27499999999998</v>
      </c>
      <c r="AD16" s="5">
        <v>313.46800000000002</v>
      </c>
      <c r="AE16" s="5">
        <v>437.70400000000001</v>
      </c>
      <c r="AF16" s="5">
        <v>702.93499999999995</v>
      </c>
      <c r="AG16" s="5">
        <v>362.44499999999999</v>
      </c>
      <c r="AH16" s="5">
        <v>541.43799999999999</v>
      </c>
      <c r="AI16" s="5">
        <v>398.12900000000002</v>
      </c>
      <c r="AJ16" s="5">
        <v>676.72799999999995</v>
      </c>
      <c r="AK16" s="5">
        <v>428.13600000000002</v>
      </c>
      <c r="AL16" s="5">
        <v>404.03500000000003</v>
      </c>
      <c r="AM16" s="5">
        <v>480.79300000000001</v>
      </c>
      <c r="AN16" s="5">
        <v>204.06</v>
      </c>
      <c r="AO16" s="5">
        <v>336.608</v>
      </c>
      <c r="AP16" s="5">
        <v>455.82499999999999</v>
      </c>
      <c r="AQ16" s="5">
        <v>432.13499999999999</v>
      </c>
      <c r="AR16" s="5">
        <v>312.851</v>
      </c>
      <c r="AS16" s="5">
        <v>516.35</v>
      </c>
      <c r="AT16" s="5">
        <v>191.57</v>
      </c>
      <c r="AU16">
        <v>266.43299999999999</v>
      </c>
      <c r="AV16">
        <v>355.14299999999997</v>
      </c>
      <c r="AW16">
        <v>793.53899999999999</v>
      </c>
    </row>
    <row r="17" spans="1:49" x14ac:dyDescent="0.3">
      <c r="A17" s="5" t="s">
        <v>39</v>
      </c>
      <c r="B17" s="5">
        <v>211.559</v>
      </c>
      <c r="C17" s="5">
        <v>211.43299999999999</v>
      </c>
      <c r="D17" s="5">
        <v>209.62700000000001</v>
      </c>
      <c r="E17" s="5">
        <v>209.917</v>
      </c>
      <c r="F17" s="5">
        <v>211.44</v>
      </c>
      <c r="G17" s="5">
        <v>212.02500000000001</v>
      </c>
      <c r="H17" s="5">
        <v>210.066</v>
      </c>
      <c r="I17" s="5">
        <v>209.65899999999999</v>
      </c>
      <c r="J17" s="5">
        <v>237.464</v>
      </c>
      <c r="K17" s="5">
        <v>237.52</v>
      </c>
      <c r="L17" s="5">
        <v>232.00899999999999</v>
      </c>
      <c r="M17" s="5">
        <v>707.27</v>
      </c>
      <c r="N17" s="5">
        <v>58.238</v>
      </c>
      <c r="O17" s="5">
        <v>121.857</v>
      </c>
      <c r="P17" s="5">
        <v>0</v>
      </c>
      <c r="Q17" s="5">
        <v>422.11599999999999</v>
      </c>
      <c r="R17" s="5">
        <v>157.61699999999999</v>
      </c>
      <c r="S17" s="5">
        <v>89.225999999999999</v>
      </c>
      <c r="T17" s="5">
        <v>206.16</v>
      </c>
      <c r="U17" s="5">
        <v>77.537999999999997</v>
      </c>
      <c r="V17" s="5">
        <v>441.01499999999999</v>
      </c>
      <c r="W17" s="5">
        <v>325.74</v>
      </c>
      <c r="X17" s="5">
        <v>734.74800000000005</v>
      </c>
      <c r="Y17" s="5">
        <v>720.25900000000001</v>
      </c>
      <c r="Z17" s="5">
        <v>211.11600000000001</v>
      </c>
      <c r="AA17" s="5">
        <v>95.558999999999997</v>
      </c>
      <c r="AB17" s="5">
        <v>340.50299999999999</v>
      </c>
      <c r="AC17" s="5">
        <v>420.76900000000001</v>
      </c>
      <c r="AD17" s="5">
        <v>428.52800000000002</v>
      </c>
      <c r="AE17" s="5">
        <v>553.48699999999997</v>
      </c>
      <c r="AF17" s="5">
        <v>755.86400000000003</v>
      </c>
      <c r="AG17" s="5">
        <v>385.90100000000001</v>
      </c>
      <c r="AH17" s="5">
        <v>623.93200000000002</v>
      </c>
      <c r="AI17" s="5">
        <v>513.18899999999996</v>
      </c>
      <c r="AJ17" s="5">
        <v>556.86400000000003</v>
      </c>
      <c r="AK17" s="5">
        <v>356.93099999999998</v>
      </c>
      <c r="AL17" s="5">
        <v>303.63</v>
      </c>
      <c r="AM17" s="5">
        <v>533.72199999999998</v>
      </c>
      <c r="AN17" s="5">
        <v>256.98899999999998</v>
      </c>
      <c r="AO17" s="5">
        <v>389.53699999999998</v>
      </c>
      <c r="AP17" s="5">
        <v>508.75400000000002</v>
      </c>
      <c r="AQ17" s="5">
        <v>360.93</v>
      </c>
      <c r="AR17" s="5">
        <v>417.11399999999998</v>
      </c>
      <c r="AS17" s="5">
        <v>561.51</v>
      </c>
      <c r="AT17" s="5">
        <v>168.08500000000001</v>
      </c>
      <c r="AU17">
        <v>195.22800000000001</v>
      </c>
      <c r="AV17">
        <v>437.637</v>
      </c>
      <c r="AW17">
        <v>846.46799999999996</v>
      </c>
    </row>
    <row r="18" spans="1:49" x14ac:dyDescent="0.3">
      <c r="A18" s="5" t="s">
        <v>42</v>
      </c>
      <c r="B18" s="5">
        <v>452.62099999999998</v>
      </c>
      <c r="C18" s="5">
        <v>452.495</v>
      </c>
      <c r="D18" s="5">
        <v>450.68900000000002</v>
      </c>
      <c r="E18" s="5">
        <v>450.97899999999998</v>
      </c>
      <c r="F18" s="5">
        <v>452.50200000000001</v>
      </c>
      <c r="G18" s="5">
        <v>453.08699999999999</v>
      </c>
      <c r="H18" s="5">
        <v>451.12799999999999</v>
      </c>
      <c r="I18" s="5">
        <v>450.721</v>
      </c>
      <c r="J18" s="5">
        <v>478.52600000000001</v>
      </c>
      <c r="K18" s="5">
        <v>478.58199999999999</v>
      </c>
      <c r="L18" s="5">
        <v>473.07100000000003</v>
      </c>
      <c r="M18" s="5">
        <v>951.27800000000002</v>
      </c>
      <c r="N18" s="5">
        <v>483.62599999999998</v>
      </c>
      <c r="O18" s="5">
        <v>477.221</v>
      </c>
      <c r="P18" s="5">
        <v>421.77</v>
      </c>
      <c r="Q18" s="5">
        <v>0</v>
      </c>
      <c r="R18" s="5">
        <v>360.50200000000001</v>
      </c>
      <c r="S18" s="5">
        <v>514.61400000000003</v>
      </c>
      <c r="T18" s="5">
        <v>240.303</v>
      </c>
      <c r="U18" s="5">
        <v>439.12299999999999</v>
      </c>
      <c r="V18" s="5">
        <v>105.292</v>
      </c>
      <c r="W18" s="5">
        <v>100.11199999999999</v>
      </c>
      <c r="X18" s="5">
        <v>1160.136</v>
      </c>
      <c r="Y18" s="5">
        <v>1145.6469999999999</v>
      </c>
      <c r="Z18" s="5">
        <v>452.178</v>
      </c>
      <c r="AA18" s="5">
        <v>457.14400000000001</v>
      </c>
      <c r="AB18" s="5">
        <v>195.04</v>
      </c>
      <c r="AC18" s="5">
        <v>560.904</v>
      </c>
      <c r="AD18" s="5">
        <v>636.77099999999996</v>
      </c>
      <c r="AE18" s="5">
        <v>693.62199999999996</v>
      </c>
      <c r="AF18" s="5">
        <v>1181.252</v>
      </c>
      <c r="AG18" s="5">
        <v>559.53399999999999</v>
      </c>
      <c r="AH18" s="5">
        <v>764.06700000000001</v>
      </c>
      <c r="AI18" s="5">
        <v>790.52499999999998</v>
      </c>
      <c r="AJ18" s="5">
        <v>147.57300000000001</v>
      </c>
      <c r="AK18" s="5">
        <v>484.41899999999998</v>
      </c>
      <c r="AL18" s="5">
        <v>216.60900000000001</v>
      </c>
      <c r="AM18" s="5">
        <v>959.11</v>
      </c>
      <c r="AN18" s="5">
        <v>682.37699999999995</v>
      </c>
      <c r="AO18" s="5">
        <v>814.92499999999995</v>
      </c>
      <c r="AP18" s="5">
        <v>934.14200000000005</v>
      </c>
      <c r="AQ18" s="5">
        <v>601.99199999999996</v>
      </c>
      <c r="AR18" s="5">
        <v>745.18899999999996</v>
      </c>
      <c r="AS18" s="5">
        <v>889.58500000000004</v>
      </c>
      <c r="AT18" s="5">
        <v>593.47299999999996</v>
      </c>
      <c r="AU18">
        <v>436.29</v>
      </c>
      <c r="AV18">
        <v>577.77200000000005</v>
      </c>
      <c r="AW18">
        <v>1271.856</v>
      </c>
    </row>
    <row r="19" spans="1:49" x14ac:dyDescent="0.3">
      <c r="A19" s="5" t="s">
        <v>45</v>
      </c>
      <c r="B19" s="5">
        <v>99.516999999999996</v>
      </c>
      <c r="C19" s="5">
        <v>99.391000000000005</v>
      </c>
      <c r="D19" s="5">
        <v>97.584999999999994</v>
      </c>
      <c r="E19" s="5">
        <v>97.875</v>
      </c>
      <c r="F19" s="5">
        <v>99.397999999999996</v>
      </c>
      <c r="G19" s="5">
        <v>99.983000000000004</v>
      </c>
      <c r="H19" s="5">
        <v>98.024000000000001</v>
      </c>
      <c r="I19" s="5">
        <v>97.617000000000004</v>
      </c>
      <c r="J19" s="5">
        <v>125.422</v>
      </c>
      <c r="K19" s="5">
        <v>125.47799999999999</v>
      </c>
      <c r="L19" s="5">
        <v>119.967</v>
      </c>
      <c r="M19" s="5">
        <v>598.17399999999998</v>
      </c>
      <c r="N19" s="5">
        <v>166.05500000000001</v>
      </c>
      <c r="O19" s="5">
        <v>229.67400000000001</v>
      </c>
      <c r="P19" s="5">
        <v>157.54900000000001</v>
      </c>
      <c r="Q19" s="5">
        <v>362.32600000000002</v>
      </c>
      <c r="R19" s="5">
        <v>0</v>
      </c>
      <c r="S19" s="5">
        <v>197.04300000000001</v>
      </c>
      <c r="T19" s="5">
        <v>210.375</v>
      </c>
      <c r="U19" s="5">
        <v>86.629000000000005</v>
      </c>
      <c r="V19" s="5">
        <v>400.88600000000002</v>
      </c>
      <c r="W19" s="5">
        <v>265.95</v>
      </c>
      <c r="X19" s="5">
        <v>839.33500000000004</v>
      </c>
      <c r="Y19" s="5">
        <v>824.846</v>
      </c>
      <c r="Z19" s="5">
        <v>99.073999999999998</v>
      </c>
      <c r="AA19" s="5">
        <v>82.215999999999994</v>
      </c>
      <c r="AB19" s="5">
        <v>344.71800000000002</v>
      </c>
      <c r="AC19" s="5">
        <v>548.09199999999998</v>
      </c>
      <c r="AD19" s="5">
        <v>536.34500000000003</v>
      </c>
      <c r="AE19" s="5">
        <v>680.81</v>
      </c>
      <c r="AF19" s="5">
        <v>860.45100000000002</v>
      </c>
      <c r="AG19" s="5">
        <v>513.22400000000005</v>
      </c>
      <c r="AH19" s="5">
        <v>751.255</v>
      </c>
      <c r="AI19" s="5">
        <v>621.00599999999997</v>
      </c>
      <c r="AJ19" s="5">
        <v>497.07400000000001</v>
      </c>
      <c r="AK19" s="5">
        <v>235.898</v>
      </c>
      <c r="AL19" s="5">
        <v>307.84500000000003</v>
      </c>
      <c r="AM19" s="5">
        <v>598.65700000000004</v>
      </c>
      <c r="AN19" s="5">
        <v>364.80599999999998</v>
      </c>
      <c r="AO19" s="5">
        <v>497.35399999999998</v>
      </c>
      <c r="AP19" s="5">
        <v>614.23400000000004</v>
      </c>
      <c r="AQ19" s="5">
        <v>248.88800000000001</v>
      </c>
      <c r="AR19" s="5">
        <v>392.08499999999998</v>
      </c>
      <c r="AS19" s="5">
        <v>536.48099999999999</v>
      </c>
      <c r="AT19" s="5">
        <v>264.99599999999998</v>
      </c>
      <c r="AU19">
        <v>83.186000000000007</v>
      </c>
      <c r="AV19">
        <v>564.96</v>
      </c>
      <c r="AW19">
        <v>951.05499999999995</v>
      </c>
    </row>
    <row r="20" spans="1:49" x14ac:dyDescent="0.3">
      <c r="A20" s="5" t="s">
        <v>48</v>
      </c>
      <c r="B20" s="5">
        <v>249.89400000000001</v>
      </c>
      <c r="C20" s="5">
        <v>249.768</v>
      </c>
      <c r="D20" s="5">
        <v>247.96199999999999</v>
      </c>
      <c r="E20" s="5">
        <v>248.25200000000001</v>
      </c>
      <c r="F20" s="5">
        <v>249.77500000000001</v>
      </c>
      <c r="G20" s="5">
        <v>250.36</v>
      </c>
      <c r="H20" s="5">
        <v>248.40100000000001</v>
      </c>
      <c r="I20" s="5">
        <v>247.994</v>
      </c>
      <c r="J20" s="5">
        <v>275.79899999999998</v>
      </c>
      <c r="K20" s="5">
        <v>275.85500000000002</v>
      </c>
      <c r="L20" s="5">
        <v>270.34399999999999</v>
      </c>
      <c r="M20" s="5">
        <v>565.78599999999994</v>
      </c>
      <c r="N20" s="5">
        <v>37.520000000000003</v>
      </c>
      <c r="O20" s="5">
        <v>111.336</v>
      </c>
      <c r="P20" s="5">
        <v>88.623000000000005</v>
      </c>
      <c r="Q20" s="5">
        <v>514.38</v>
      </c>
      <c r="R20" s="5">
        <v>195.952</v>
      </c>
      <c r="S20" s="5">
        <v>0</v>
      </c>
      <c r="T20" s="5">
        <v>273.69499999999999</v>
      </c>
      <c r="U20" s="5">
        <v>126.142</v>
      </c>
      <c r="V20" s="5">
        <v>508.55</v>
      </c>
      <c r="W20" s="5">
        <v>418.00400000000002</v>
      </c>
      <c r="X20" s="5">
        <v>660.73</v>
      </c>
      <c r="Y20" s="5">
        <v>646.24099999999999</v>
      </c>
      <c r="Z20" s="5">
        <v>249.45099999999999</v>
      </c>
      <c r="AA20" s="5">
        <v>133.89400000000001</v>
      </c>
      <c r="AB20" s="5">
        <v>408.03800000000001</v>
      </c>
      <c r="AC20" s="5">
        <v>488.30399999999997</v>
      </c>
      <c r="AD20" s="5">
        <v>418.00700000000001</v>
      </c>
      <c r="AE20" s="5">
        <v>542.24300000000005</v>
      </c>
      <c r="AF20" s="5">
        <v>681.846</v>
      </c>
      <c r="AG20" s="5">
        <v>466.98399999999998</v>
      </c>
      <c r="AH20" s="5">
        <v>691.46699999999998</v>
      </c>
      <c r="AI20" s="5">
        <v>502.66800000000001</v>
      </c>
      <c r="AJ20" s="5">
        <v>643.85799999999995</v>
      </c>
      <c r="AK20" s="5">
        <v>395.26600000000002</v>
      </c>
      <c r="AL20" s="5">
        <v>371.16500000000002</v>
      </c>
      <c r="AM20" s="5">
        <v>459.70400000000001</v>
      </c>
      <c r="AN20" s="5">
        <v>182.971</v>
      </c>
      <c r="AO20" s="5">
        <v>315.51900000000001</v>
      </c>
      <c r="AP20" s="5">
        <v>434.73599999999999</v>
      </c>
      <c r="AQ20" s="5">
        <v>399.26499999999999</v>
      </c>
      <c r="AR20" s="5">
        <v>241.40899999999999</v>
      </c>
      <c r="AS20" s="5">
        <v>420.02600000000001</v>
      </c>
      <c r="AT20" s="5">
        <v>77.909000000000006</v>
      </c>
      <c r="AU20">
        <v>233.56299999999999</v>
      </c>
      <c r="AV20">
        <v>505.17200000000003</v>
      </c>
      <c r="AW20">
        <v>772.45</v>
      </c>
    </row>
    <row r="21" spans="1:49" x14ac:dyDescent="0.3">
      <c r="A21" s="5" t="s">
        <v>51</v>
      </c>
      <c r="B21" s="5">
        <v>302.02100000000002</v>
      </c>
      <c r="C21" s="5">
        <v>301.89499999999998</v>
      </c>
      <c r="D21" s="5">
        <v>300.089</v>
      </c>
      <c r="E21" s="5">
        <v>300.37900000000002</v>
      </c>
      <c r="F21" s="5">
        <v>301.90199999999999</v>
      </c>
      <c r="G21" s="5">
        <v>302.48700000000002</v>
      </c>
      <c r="H21" s="5">
        <v>300.52800000000002</v>
      </c>
      <c r="I21" s="5">
        <v>300.12099999999998</v>
      </c>
      <c r="J21" s="5">
        <v>327.92599999999999</v>
      </c>
      <c r="K21" s="5">
        <v>327.98200000000003</v>
      </c>
      <c r="L21" s="5">
        <v>322.471</v>
      </c>
      <c r="M21" s="5">
        <v>800.678</v>
      </c>
      <c r="N21" s="5">
        <v>245.346</v>
      </c>
      <c r="O21" s="5">
        <v>238.941</v>
      </c>
      <c r="P21" s="5">
        <v>210.5</v>
      </c>
      <c r="Q21" s="5">
        <v>239.78200000000001</v>
      </c>
      <c r="R21" s="5">
        <v>209.90199999999999</v>
      </c>
      <c r="S21" s="5">
        <v>276.334</v>
      </c>
      <c r="T21" s="5">
        <v>0</v>
      </c>
      <c r="U21" s="5">
        <v>240.85</v>
      </c>
      <c r="V21" s="5">
        <v>254.239</v>
      </c>
      <c r="W21" s="5">
        <v>142.779</v>
      </c>
      <c r="X21" s="5">
        <v>921.85599999999999</v>
      </c>
      <c r="Y21" s="5">
        <v>907.36699999999996</v>
      </c>
      <c r="Z21" s="5">
        <v>301.57799999999997</v>
      </c>
      <c r="AA21" s="5">
        <v>258.87099999999998</v>
      </c>
      <c r="AB21" s="5">
        <v>153.727</v>
      </c>
      <c r="AC21" s="5">
        <v>397.6</v>
      </c>
      <c r="AD21" s="5">
        <v>473.46699999999998</v>
      </c>
      <c r="AE21" s="5">
        <v>530.31799999999998</v>
      </c>
      <c r="AF21" s="5">
        <v>942.97199999999998</v>
      </c>
      <c r="AG21" s="5">
        <v>396.23</v>
      </c>
      <c r="AH21" s="5">
        <v>600.76300000000003</v>
      </c>
      <c r="AI21" s="5">
        <v>627.221</v>
      </c>
      <c r="AJ21" s="5">
        <v>389.54700000000003</v>
      </c>
      <c r="AK21" s="5">
        <v>423.07900000000001</v>
      </c>
      <c r="AL21" s="5">
        <v>116.854</v>
      </c>
      <c r="AM21" s="5">
        <v>720.83</v>
      </c>
      <c r="AN21" s="5">
        <v>444.09699999999998</v>
      </c>
      <c r="AO21" s="5">
        <v>576.64499999999998</v>
      </c>
      <c r="AP21" s="5">
        <v>695.86199999999997</v>
      </c>
      <c r="AQ21" s="5">
        <v>451.392</v>
      </c>
      <c r="AR21" s="5">
        <v>580.42600000000004</v>
      </c>
      <c r="AS21" s="5">
        <v>724.822</v>
      </c>
      <c r="AT21" s="5">
        <v>355.19299999999998</v>
      </c>
      <c r="AU21">
        <v>285.69</v>
      </c>
      <c r="AV21">
        <v>414.46800000000002</v>
      </c>
      <c r="AW21">
        <v>1033.576</v>
      </c>
    </row>
    <row r="22" spans="1:49" x14ac:dyDescent="0.3">
      <c r="A22" s="5" t="s">
        <v>54</v>
      </c>
      <c r="B22" s="5">
        <v>140.56299999999999</v>
      </c>
      <c r="C22" s="5">
        <v>140.43700000000001</v>
      </c>
      <c r="D22" s="5">
        <v>138.631</v>
      </c>
      <c r="E22" s="5">
        <v>138.92099999999999</v>
      </c>
      <c r="F22" s="5">
        <v>140.44399999999999</v>
      </c>
      <c r="G22" s="5">
        <v>141.029</v>
      </c>
      <c r="H22" s="5">
        <v>139.07</v>
      </c>
      <c r="I22" s="5">
        <v>138.66300000000001</v>
      </c>
      <c r="J22" s="5">
        <v>166.46799999999999</v>
      </c>
      <c r="K22" s="5">
        <v>166.524</v>
      </c>
      <c r="L22" s="5">
        <v>161.01300000000001</v>
      </c>
      <c r="M22" s="5">
        <v>636.274</v>
      </c>
      <c r="N22" s="5">
        <v>95.444000000000003</v>
      </c>
      <c r="O22" s="5">
        <v>159.06299999999999</v>
      </c>
      <c r="P22" s="5">
        <v>76.760999999999996</v>
      </c>
      <c r="Q22" s="5">
        <v>439.48500000000001</v>
      </c>
      <c r="R22" s="5">
        <v>86.620999999999995</v>
      </c>
      <c r="S22" s="5">
        <v>126.432</v>
      </c>
      <c r="T22" s="5">
        <v>239.624</v>
      </c>
      <c r="U22" s="5">
        <v>0</v>
      </c>
      <c r="V22" s="5">
        <v>474.47899999999998</v>
      </c>
      <c r="W22" s="5">
        <v>343.10899999999998</v>
      </c>
      <c r="X22" s="5">
        <v>771.95399999999995</v>
      </c>
      <c r="Y22" s="5">
        <v>757.46500000000003</v>
      </c>
      <c r="Z22" s="5">
        <v>140.12</v>
      </c>
      <c r="AA22" s="5">
        <v>20.719000000000001</v>
      </c>
      <c r="AB22" s="5">
        <v>373.96699999999998</v>
      </c>
      <c r="AC22" s="5">
        <v>453.7</v>
      </c>
      <c r="AD22" s="5">
        <v>465.73399999999998</v>
      </c>
      <c r="AE22" s="5">
        <v>586.41800000000001</v>
      </c>
      <c r="AF22" s="5">
        <v>793.07</v>
      </c>
      <c r="AG22" s="5">
        <v>418.83199999999999</v>
      </c>
      <c r="AH22" s="5">
        <v>656.86300000000006</v>
      </c>
      <c r="AI22" s="5">
        <v>550.39499999999998</v>
      </c>
      <c r="AJ22" s="5">
        <v>574.23299999999995</v>
      </c>
      <c r="AK22" s="5">
        <v>285.935</v>
      </c>
      <c r="AL22" s="5">
        <v>337.09399999999999</v>
      </c>
      <c r="AM22" s="5">
        <v>552.69000000000005</v>
      </c>
      <c r="AN22" s="5">
        <v>294.19499999999999</v>
      </c>
      <c r="AO22" s="5">
        <v>426.74299999999999</v>
      </c>
      <c r="AP22" s="5">
        <v>545.96</v>
      </c>
      <c r="AQ22" s="5">
        <v>289.93400000000003</v>
      </c>
      <c r="AR22" s="5">
        <v>346.11799999999999</v>
      </c>
      <c r="AS22" s="5">
        <v>490.51400000000001</v>
      </c>
      <c r="AT22" s="5">
        <v>228.16800000000001</v>
      </c>
      <c r="AU22">
        <v>124.232</v>
      </c>
      <c r="AV22">
        <v>470.56799999999998</v>
      </c>
      <c r="AW22">
        <v>883.67399999999998</v>
      </c>
    </row>
    <row r="23" spans="1:49" x14ac:dyDescent="0.3">
      <c r="A23" s="5" t="s">
        <v>57</v>
      </c>
      <c r="B23" s="5">
        <v>491.661</v>
      </c>
      <c r="C23" s="5">
        <v>491.53500000000003</v>
      </c>
      <c r="D23" s="5">
        <v>489.72899999999998</v>
      </c>
      <c r="E23" s="5">
        <v>490.01900000000001</v>
      </c>
      <c r="F23" s="5">
        <v>491.54199999999997</v>
      </c>
      <c r="G23" s="5">
        <v>492.12700000000001</v>
      </c>
      <c r="H23" s="5">
        <v>490.16800000000001</v>
      </c>
      <c r="I23" s="5">
        <v>489.76100000000002</v>
      </c>
      <c r="J23" s="5">
        <v>517.56600000000003</v>
      </c>
      <c r="K23" s="5">
        <v>517.62199999999996</v>
      </c>
      <c r="L23" s="5">
        <v>512.11099999999999</v>
      </c>
      <c r="M23" s="5">
        <v>990.31799999999998</v>
      </c>
      <c r="N23" s="5">
        <v>478.86</v>
      </c>
      <c r="O23" s="5">
        <v>472.45499999999998</v>
      </c>
      <c r="P23" s="5">
        <v>444.01400000000001</v>
      </c>
      <c r="Q23" s="5">
        <v>104.04</v>
      </c>
      <c r="R23" s="5">
        <v>399.54199999999997</v>
      </c>
      <c r="S23" s="5">
        <v>509.84800000000001</v>
      </c>
      <c r="T23" s="5">
        <v>253.96899999999999</v>
      </c>
      <c r="U23" s="5">
        <v>474.36399999999998</v>
      </c>
      <c r="V23" s="5">
        <v>0</v>
      </c>
      <c r="W23" s="5">
        <v>135.54900000000001</v>
      </c>
      <c r="X23" s="5">
        <v>1155.3699999999999</v>
      </c>
      <c r="Y23" s="5">
        <v>1140.8810000000001</v>
      </c>
      <c r="Z23" s="5">
        <v>491.21800000000002</v>
      </c>
      <c r="AA23" s="5">
        <v>492.38499999999999</v>
      </c>
      <c r="AB23" s="5">
        <v>130.321</v>
      </c>
      <c r="AC23" s="5">
        <v>508.99799999999999</v>
      </c>
      <c r="AD23" s="5">
        <v>584.86500000000001</v>
      </c>
      <c r="AE23" s="5">
        <v>641.71600000000001</v>
      </c>
      <c r="AF23" s="5">
        <v>1176.4860000000001</v>
      </c>
      <c r="AG23" s="5">
        <v>507.62799999999999</v>
      </c>
      <c r="AH23" s="5">
        <v>712.16099999999994</v>
      </c>
      <c r="AI23" s="5">
        <v>738.61900000000003</v>
      </c>
      <c r="AJ23" s="5">
        <v>139.06299999999999</v>
      </c>
      <c r="AK23" s="5">
        <v>574.40300000000002</v>
      </c>
      <c r="AL23" s="5">
        <v>157.25800000000001</v>
      </c>
      <c r="AM23" s="5">
        <v>954.34400000000005</v>
      </c>
      <c r="AN23" s="5">
        <v>677.61099999999999</v>
      </c>
      <c r="AO23" s="5">
        <v>810.16</v>
      </c>
      <c r="AP23" s="5">
        <v>929.37599999999998</v>
      </c>
      <c r="AQ23" s="5">
        <v>641.03200000000004</v>
      </c>
      <c r="AR23" s="5">
        <v>784.22900000000004</v>
      </c>
      <c r="AS23" s="5">
        <v>928.625</v>
      </c>
      <c r="AT23" s="5">
        <v>588.70699999999999</v>
      </c>
      <c r="AU23">
        <v>475.33</v>
      </c>
      <c r="AV23">
        <v>525.86599999999999</v>
      </c>
      <c r="AW23">
        <v>1267.0899999999999</v>
      </c>
    </row>
    <row r="24" spans="1:49" x14ac:dyDescent="0.3">
      <c r="A24" s="5" t="s">
        <v>60</v>
      </c>
      <c r="B24" s="5">
        <v>356.79</v>
      </c>
      <c r="C24" s="5">
        <v>356.66399999999999</v>
      </c>
      <c r="D24" s="5">
        <v>354.858</v>
      </c>
      <c r="E24" s="5">
        <v>355.14800000000002</v>
      </c>
      <c r="F24" s="5">
        <v>356.67099999999999</v>
      </c>
      <c r="G24" s="5">
        <v>357.25599999999997</v>
      </c>
      <c r="H24" s="5">
        <v>355.29700000000003</v>
      </c>
      <c r="I24" s="5">
        <v>354.89</v>
      </c>
      <c r="J24" s="5">
        <v>382.69499999999999</v>
      </c>
      <c r="K24" s="5">
        <v>382.75099999999998</v>
      </c>
      <c r="L24" s="5">
        <v>377.24</v>
      </c>
      <c r="M24" s="5">
        <v>855.447</v>
      </c>
      <c r="N24" s="5">
        <v>387.79500000000002</v>
      </c>
      <c r="O24" s="5">
        <v>381.39</v>
      </c>
      <c r="P24" s="5">
        <v>325.93900000000002</v>
      </c>
      <c r="Q24" s="5">
        <v>99.512</v>
      </c>
      <c r="R24" s="5">
        <v>264.67099999999999</v>
      </c>
      <c r="S24" s="5">
        <v>418.78300000000002</v>
      </c>
      <c r="T24" s="5">
        <v>143.298</v>
      </c>
      <c r="U24" s="5">
        <v>343.29199999999997</v>
      </c>
      <c r="V24" s="5">
        <v>135.642</v>
      </c>
      <c r="W24" s="5">
        <v>0</v>
      </c>
      <c r="X24" s="5">
        <v>1064.3050000000001</v>
      </c>
      <c r="Y24" s="5">
        <v>1049.816</v>
      </c>
      <c r="Z24" s="5">
        <v>356.34699999999998</v>
      </c>
      <c r="AA24" s="5">
        <v>361.31299999999999</v>
      </c>
      <c r="AB24" s="5">
        <v>122.767</v>
      </c>
      <c r="AC24" s="5">
        <v>463.899</v>
      </c>
      <c r="AD24" s="5">
        <v>539.76599999999996</v>
      </c>
      <c r="AE24" s="5">
        <v>596.61699999999996</v>
      </c>
      <c r="AF24" s="5">
        <v>1085.421</v>
      </c>
      <c r="AG24" s="5">
        <v>462.529</v>
      </c>
      <c r="AH24" s="5">
        <v>667.06200000000001</v>
      </c>
      <c r="AI24" s="5">
        <v>693.52</v>
      </c>
      <c r="AJ24" s="5">
        <v>234.26</v>
      </c>
      <c r="AK24" s="5">
        <v>439.53199999999998</v>
      </c>
      <c r="AL24" s="5">
        <v>119.604</v>
      </c>
      <c r="AM24" s="5">
        <v>863.279</v>
      </c>
      <c r="AN24" s="5">
        <v>586.54600000000005</v>
      </c>
      <c r="AO24" s="5">
        <v>719.09400000000005</v>
      </c>
      <c r="AP24" s="5">
        <v>838.31100000000004</v>
      </c>
      <c r="AQ24" s="5">
        <v>506.161</v>
      </c>
      <c r="AR24" s="5">
        <v>649.35799999999995</v>
      </c>
      <c r="AS24" s="5">
        <v>793.75400000000002</v>
      </c>
      <c r="AT24" s="5">
        <v>497.642</v>
      </c>
      <c r="AU24">
        <v>340.459</v>
      </c>
      <c r="AV24">
        <v>480.767</v>
      </c>
      <c r="AW24">
        <v>1176.0250000000001</v>
      </c>
    </row>
    <row r="25" spans="1:49" x14ac:dyDescent="0.3">
      <c r="A25" s="5" t="s">
        <v>63</v>
      </c>
      <c r="B25" s="5">
        <v>788.77</v>
      </c>
      <c r="C25" s="5">
        <v>788.64400000000001</v>
      </c>
      <c r="D25" s="5">
        <v>791.89599999999996</v>
      </c>
      <c r="E25" s="5">
        <v>789.255</v>
      </c>
      <c r="F25" s="5">
        <v>788.65099999999995</v>
      </c>
      <c r="G25" s="5">
        <v>794.29399999999998</v>
      </c>
      <c r="H25" s="5">
        <v>792.33500000000004</v>
      </c>
      <c r="I25" s="5">
        <v>786.87</v>
      </c>
      <c r="J25" s="5">
        <v>821.90300000000002</v>
      </c>
      <c r="K25" s="5">
        <v>821.95899999999995</v>
      </c>
      <c r="L25" s="5">
        <v>809.22</v>
      </c>
      <c r="M25" s="5">
        <v>793.48900000000003</v>
      </c>
      <c r="N25" s="5">
        <v>683.23299999999995</v>
      </c>
      <c r="O25" s="5">
        <v>680.82100000000003</v>
      </c>
      <c r="P25" s="5">
        <v>734.33600000000001</v>
      </c>
      <c r="Q25" s="5">
        <v>1160.0930000000001</v>
      </c>
      <c r="R25" s="5">
        <v>838.21600000000001</v>
      </c>
      <c r="S25" s="5">
        <v>661.65599999999995</v>
      </c>
      <c r="T25" s="5">
        <v>919.40800000000002</v>
      </c>
      <c r="U25" s="5">
        <v>771.85500000000002</v>
      </c>
      <c r="V25" s="5">
        <v>1154.2629999999999</v>
      </c>
      <c r="W25" s="5">
        <v>1063.7170000000001</v>
      </c>
      <c r="X25" s="5">
        <v>0</v>
      </c>
      <c r="Y25" s="5">
        <v>17.141999999999999</v>
      </c>
      <c r="Z25" s="5">
        <v>788.33600000000001</v>
      </c>
      <c r="AA25" s="5">
        <v>779.60699999999997</v>
      </c>
      <c r="AB25" s="5">
        <v>1053.751</v>
      </c>
      <c r="AC25" s="5">
        <v>651.30200000000002</v>
      </c>
      <c r="AD25" s="5">
        <v>625.29</v>
      </c>
      <c r="AE25" s="5">
        <v>529.447</v>
      </c>
      <c r="AF25" s="5">
        <v>22.577999999999999</v>
      </c>
      <c r="AG25" s="5">
        <v>691.84100000000001</v>
      </c>
      <c r="AH25" s="5">
        <v>609.19500000000005</v>
      </c>
      <c r="AI25" s="5">
        <v>424.05599999999998</v>
      </c>
      <c r="AJ25" s="5">
        <v>1289.5709999999999</v>
      </c>
      <c r="AK25" s="5">
        <v>939.822</v>
      </c>
      <c r="AL25" s="5">
        <v>1010.514</v>
      </c>
      <c r="AM25" s="5">
        <v>413.76499999999999</v>
      </c>
      <c r="AN25" s="5">
        <v>482.18599999999998</v>
      </c>
      <c r="AO25" s="5">
        <v>346.39</v>
      </c>
      <c r="AP25" s="5">
        <v>305.3</v>
      </c>
      <c r="AQ25" s="5">
        <v>818.16300000000001</v>
      </c>
      <c r="AR25" s="5">
        <v>449.09199999999998</v>
      </c>
      <c r="AS25" s="5">
        <v>647.72900000000004</v>
      </c>
      <c r="AT25" s="5">
        <v>583.202</v>
      </c>
      <c r="AU25">
        <v>771.428</v>
      </c>
      <c r="AV25">
        <v>662.07899999999995</v>
      </c>
      <c r="AW25">
        <v>161.09899999999999</v>
      </c>
    </row>
    <row r="26" spans="1:49" x14ac:dyDescent="0.3">
      <c r="A26" s="5" t="s">
        <v>66</v>
      </c>
      <c r="B26" s="5">
        <v>774.31799999999998</v>
      </c>
      <c r="C26" s="5">
        <v>774.19200000000001</v>
      </c>
      <c r="D26" s="5">
        <v>777.44399999999996</v>
      </c>
      <c r="E26" s="5">
        <v>774.803</v>
      </c>
      <c r="F26" s="5">
        <v>774.19899999999996</v>
      </c>
      <c r="G26" s="5">
        <v>779.84199999999998</v>
      </c>
      <c r="H26" s="5">
        <v>777.88300000000004</v>
      </c>
      <c r="I26" s="5">
        <v>772.41800000000001</v>
      </c>
      <c r="J26" s="5">
        <v>807.45100000000002</v>
      </c>
      <c r="K26" s="5">
        <v>807.50699999999995</v>
      </c>
      <c r="L26" s="5">
        <v>794.76800000000003</v>
      </c>
      <c r="M26" s="5">
        <v>779.03700000000003</v>
      </c>
      <c r="N26" s="5">
        <v>668.78099999999995</v>
      </c>
      <c r="O26" s="5">
        <v>666.36900000000003</v>
      </c>
      <c r="P26" s="5">
        <v>719.88400000000001</v>
      </c>
      <c r="Q26" s="5">
        <v>1145.6410000000001</v>
      </c>
      <c r="R26" s="5">
        <v>823.76400000000001</v>
      </c>
      <c r="S26" s="5">
        <v>647.20399999999995</v>
      </c>
      <c r="T26" s="5">
        <v>904.95600000000002</v>
      </c>
      <c r="U26" s="5">
        <v>757.40300000000002</v>
      </c>
      <c r="V26" s="5">
        <v>1139.8109999999999</v>
      </c>
      <c r="W26" s="5">
        <v>1049.2650000000001</v>
      </c>
      <c r="X26" s="5">
        <v>17.885000000000002</v>
      </c>
      <c r="Y26" s="5">
        <v>0</v>
      </c>
      <c r="Z26" s="5">
        <v>773.88400000000001</v>
      </c>
      <c r="AA26" s="5">
        <v>765.15499999999997</v>
      </c>
      <c r="AB26" s="5">
        <v>1039.299</v>
      </c>
      <c r="AC26" s="5">
        <v>636.85</v>
      </c>
      <c r="AD26" s="5">
        <v>610.83799999999997</v>
      </c>
      <c r="AE26" s="5">
        <v>514.995</v>
      </c>
      <c r="AF26" s="5">
        <v>37.997</v>
      </c>
      <c r="AG26" s="5">
        <v>677.38900000000001</v>
      </c>
      <c r="AH26" s="5">
        <v>594.74300000000005</v>
      </c>
      <c r="AI26" s="5">
        <v>409.60399999999998</v>
      </c>
      <c r="AJ26" s="5">
        <v>1275.1189999999999</v>
      </c>
      <c r="AK26" s="5">
        <v>925.37</v>
      </c>
      <c r="AL26" s="5">
        <v>996.06200000000001</v>
      </c>
      <c r="AM26" s="5">
        <v>399.31299999999999</v>
      </c>
      <c r="AN26" s="5">
        <v>467.73399999999998</v>
      </c>
      <c r="AO26" s="5">
        <v>331.93799999999999</v>
      </c>
      <c r="AP26" s="5">
        <v>290.84800000000001</v>
      </c>
      <c r="AQ26" s="5">
        <v>803.71100000000001</v>
      </c>
      <c r="AR26" s="5">
        <v>434.64</v>
      </c>
      <c r="AS26" s="5">
        <v>633.27700000000004</v>
      </c>
      <c r="AT26" s="5">
        <v>568.75</v>
      </c>
      <c r="AU26">
        <v>756.976</v>
      </c>
      <c r="AV26">
        <v>647.62699999999995</v>
      </c>
      <c r="AW26">
        <v>160.672</v>
      </c>
    </row>
    <row r="27" spans="1:49" x14ac:dyDescent="0.3">
      <c r="A27" s="5" t="s">
        <v>69</v>
      </c>
      <c r="B27" s="5">
        <v>22.405999999999999</v>
      </c>
      <c r="C27" s="5">
        <v>22.28</v>
      </c>
      <c r="D27" s="5">
        <v>32.853999999999999</v>
      </c>
      <c r="E27" s="5">
        <v>22.890999999999998</v>
      </c>
      <c r="F27" s="5">
        <v>22.286999999999999</v>
      </c>
      <c r="G27" s="5">
        <v>22.7</v>
      </c>
      <c r="H27" s="5">
        <v>24.402000000000001</v>
      </c>
      <c r="I27" s="5">
        <v>20.506</v>
      </c>
      <c r="J27" s="5">
        <v>43.661999999999999</v>
      </c>
      <c r="K27" s="5">
        <v>43.718000000000004</v>
      </c>
      <c r="L27" s="5">
        <v>38.207000000000001</v>
      </c>
      <c r="M27" s="5">
        <v>511.85300000000001</v>
      </c>
      <c r="N27" s="5">
        <v>219.06</v>
      </c>
      <c r="O27" s="5">
        <v>282.67899999999997</v>
      </c>
      <c r="P27" s="5">
        <v>210.554</v>
      </c>
      <c r="Q27" s="5">
        <v>452.29899999999998</v>
      </c>
      <c r="R27" s="5">
        <v>99.591999999999999</v>
      </c>
      <c r="S27" s="5">
        <v>250.048</v>
      </c>
      <c r="T27" s="5">
        <v>300.34800000000001</v>
      </c>
      <c r="U27" s="5">
        <v>139.63399999999999</v>
      </c>
      <c r="V27" s="5">
        <v>490.85899999999998</v>
      </c>
      <c r="W27" s="5">
        <v>355.923</v>
      </c>
      <c r="X27" s="5">
        <v>788.68299999999999</v>
      </c>
      <c r="Y27" s="5">
        <v>774.19399999999996</v>
      </c>
      <c r="Z27" s="5">
        <v>0</v>
      </c>
      <c r="AA27" s="5">
        <v>135.221</v>
      </c>
      <c r="AB27" s="5">
        <v>434.69099999999997</v>
      </c>
      <c r="AC27" s="5">
        <v>587.49300000000005</v>
      </c>
      <c r="AD27" s="5">
        <v>589.35</v>
      </c>
      <c r="AE27" s="5">
        <v>720.21100000000001</v>
      </c>
      <c r="AF27" s="5">
        <v>809.79899999999998</v>
      </c>
      <c r="AG27" s="5">
        <v>552.625</v>
      </c>
      <c r="AH27" s="5">
        <v>790.65599999999995</v>
      </c>
      <c r="AI27" s="5">
        <v>674.01099999999997</v>
      </c>
      <c r="AJ27" s="5">
        <v>587.04700000000003</v>
      </c>
      <c r="AK27" s="5">
        <v>168.809</v>
      </c>
      <c r="AL27" s="5">
        <v>397.81799999999998</v>
      </c>
      <c r="AM27" s="5">
        <v>548.005</v>
      </c>
      <c r="AN27" s="5">
        <v>417.81099999999998</v>
      </c>
      <c r="AO27" s="5">
        <v>528.01800000000003</v>
      </c>
      <c r="AP27" s="5">
        <v>563.58199999999999</v>
      </c>
      <c r="AQ27" s="5">
        <v>162.56700000000001</v>
      </c>
      <c r="AR27" s="5">
        <v>341.43299999999999</v>
      </c>
      <c r="AS27" s="5">
        <v>485.82900000000001</v>
      </c>
      <c r="AT27" s="5">
        <v>245.53399999999999</v>
      </c>
      <c r="AU27">
        <v>19.359000000000002</v>
      </c>
      <c r="AV27">
        <v>604.36099999999999</v>
      </c>
      <c r="AW27">
        <v>900.40300000000002</v>
      </c>
    </row>
    <row r="28" spans="1:49" x14ac:dyDescent="0.3">
      <c r="A28" s="5" t="s">
        <v>72</v>
      </c>
      <c r="B28" s="5">
        <v>136.91300000000001</v>
      </c>
      <c r="C28" s="5">
        <v>136.78700000000001</v>
      </c>
      <c r="D28" s="5">
        <v>134.98099999999999</v>
      </c>
      <c r="E28" s="5">
        <v>135.27099999999999</v>
      </c>
      <c r="F28" s="5">
        <v>136.79400000000001</v>
      </c>
      <c r="G28" s="5">
        <v>137.37899999999999</v>
      </c>
      <c r="H28" s="5">
        <v>135.41999999999999</v>
      </c>
      <c r="I28" s="5">
        <v>135.01300000000001</v>
      </c>
      <c r="J28" s="5">
        <v>162.81800000000001</v>
      </c>
      <c r="K28" s="5">
        <v>162.874</v>
      </c>
      <c r="L28" s="5">
        <v>157.363</v>
      </c>
      <c r="M28" s="5">
        <v>632.62400000000002</v>
      </c>
      <c r="N28" s="5">
        <v>103.953</v>
      </c>
      <c r="O28" s="5">
        <v>167.572</v>
      </c>
      <c r="P28" s="5">
        <v>95.447000000000003</v>
      </c>
      <c r="Q28" s="5">
        <v>458.17099999999999</v>
      </c>
      <c r="R28" s="5">
        <v>82.971000000000004</v>
      </c>
      <c r="S28" s="5">
        <v>134.941</v>
      </c>
      <c r="T28" s="5">
        <v>258.31</v>
      </c>
      <c r="U28" s="5">
        <v>20.727</v>
      </c>
      <c r="V28" s="5">
        <v>493.16500000000002</v>
      </c>
      <c r="W28" s="5">
        <v>361.79500000000002</v>
      </c>
      <c r="X28" s="5">
        <v>780.46299999999997</v>
      </c>
      <c r="Y28" s="5">
        <v>765.97400000000005</v>
      </c>
      <c r="Z28" s="5">
        <v>136.47</v>
      </c>
      <c r="AA28" s="5">
        <v>0</v>
      </c>
      <c r="AB28" s="5">
        <v>392.65300000000002</v>
      </c>
      <c r="AC28" s="5">
        <v>472.38600000000002</v>
      </c>
      <c r="AD28" s="5">
        <v>474.24299999999999</v>
      </c>
      <c r="AE28" s="5">
        <v>605.10400000000004</v>
      </c>
      <c r="AF28" s="5">
        <v>801.57899999999995</v>
      </c>
      <c r="AG28" s="5">
        <v>437.51799999999997</v>
      </c>
      <c r="AH28" s="5">
        <v>675.54899999999998</v>
      </c>
      <c r="AI28" s="5">
        <v>558.904</v>
      </c>
      <c r="AJ28" s="5">
        <v>592.91899999999998</v>
      </c>
      <c r="AK28" s="5">
        <v>282.28500000000003</v>
      </c>
      <c r="AL28" s="5">
        <v>355.78</v>
      </c>
      <c r="AM28" s="5">
        <v>549.04</v>
      </c>
      <c r="AN28" s="5">
        <v>302.70400000000001</v>
      </c>
      <c r="AO28" s="5">
        <v>435.25200000000001</v>
      </c>
      <c r="AP28" s="5">
        <v>564.61699999999996</v>
      </c>
      <c r="AQ28" s="5">
        <v>286.28399999999999</v>
      </c>
      <c r="AR28" s="5">
        <v>342.46800000000002</v>
      </c>
      <c r="AS28" s="5">
        <v>486.86399999999998</v>
      </c>
      <c r="AT28" s="5">
        <v>190.87100000000001</v>
      </c>
      <c r="AU28">
        <v>120.58199999999999</v>
      </c>
      <c r="AV28">
        <v>489.25400000000002</v>
      </c>
      <c r="AW28">
        <v>892.18299999999999</v>
      </c>
    </row>
    <row r="29" spans="1:49" x14ac:dyDescent="0.3">
      <c r="A29" s="5" t="s">
        <v>75</v>
      </c>
      <c r="B29" s="5">
        <v>435.92399999999998</v>
      </c>
      <c r="C29" s="5">
        <v>435.798</v>
      </c>
      <c r="D29" s="5">
        <v>433.99200000000002</v>
      </c>
      <c r="E29" s="5">
        <v>434.28199999999998</v>
      </c>
      <c r="F29" s="5">
        <v>435.80500000000001</v>
      </c>
      <c r="G29" s="5">
        <v>436.39</v>
      </c>
      <c r="H29" s="5">
        <v>434.43099999999998</v>
      </c>
      <c r="I29" s="5">
        <v>434.024</v>
      </c>
      <c r="J29" s="5">
        <v>461.82900000000001</v>
      </c>
      <c r="K29" s="5">
        <v>461.88499999999999</v>
      </c>
      <c r="L29" s="5">
        <v>456.37400000000002</v>
      </c>
      <c r="M29" s="5">
        <v>934.58100000000002</v>
      </c>
      <c r="N29" s="5">
        <v>379.24900000000002</v>
      </c>
      <c r="O29" s="5">
        <v>372.84399999999999</v>
      </c>
      <c r="P29" s="5">
        <v>344.40300000000002</v>
      </c>
      <c r="Q29" s="5">
        <v>193.93100000000001</v>
      </c>
      <c r="R29" s="5">
        <v>343.80500000000001</v>
      </c>
      <c r="S29" s="5">
        <v>410.23700000000002</v>
      </c>
      <c r="T29" s="5">
        <v>154.358</v>
      </c>
      <c r="U29" s="5">
        <v>374.75299999999999</v>
      </c>
      <c r="V29" s="5">
        <v>129.92500000000001</v>
      </c>
      <c r="W29" s="5">
        <v>122.354</v>
      </c>
      <c r="X29" s="5">
        <v>1055.759</v>
      </c>
      <c r="Y29" s="5">
        <v>1041.27</v>
      </c>
      <c r="Z29" s="5">
        <v>435.48099999999999</v>
      </c>
      <c r="AA29" s="5">
        <v>392.774</v>
      </c>
      <c r="AB29" s="5">
        <v>0</v>
      </c>
      <c r="AC29" s="5">
        <v>409.387</v>
      </c>
      <c r="AD29" s="5">
        <v>485.25400000000002</v>
      </c>
      <c r="AE29" s="5">
        <v>542.10500000000002</v>
      </c>
      <c r="AF29" s="5">
        <v>1076.875</v>
      </c>
      <c r="AG29" s="5">
        <v>408.017</v>
      </c>
      <c r="AH29" s="5">
        <v>612.54999999999995</v>
      </c>
      <c r="AI29" s="5">
        <v>639.00800000000004</v>
      </c>
      <c r="AJ29" s="5">
        <v>265.233</v>
      </c>
      <c r="AK29" s="5">
        <v>556.98199999999997</v>
      </c>
      <c r="AL29" s="5">
        <v>57.646999999999998</v>
      </c>
      <c r="AM29" s="5">
        <v>854.73299999999995</v>
      </c>
      <c r="AN29" s="5">
        <v>578</v>
      </c>
      <c r="AO29" s="5">
        <v>710.548</v>
      </c>
      <c r="AP29" s="5">
        <v>829.76499999999999</v>
      </c>
      <c r="AQ29" s="5">
        <v>585.29499999999996</v>
      </c>
      <c r="AR29" s="5">
        <v>714.32899999999995</v>
      </c>
      <c r="AS29" s="5">
        <v>858.72500000000002</v>
      </c>
      <c r="AT29" s="5">
        <v>489.096</v>
      </c>
      <c r="AU29">
        <v>419.59300000000002</v>
      </c>
      <c r="AV29">
        <v>426.255</v>
      </c>
      <c r="AW29">
        <v>1167.479</v>
      </c>
    </row>
    <row r="30" spans="1:49" x14ac:dyDescent="0.3">
      <c r="A30" s="5" t="s">
        <v>78</v>
      </c>
      <c r="B30" s="5">
        <v>589.33100000000002</v>
      </c>
      <c r="C30" s="5">
        <v>589.20500000000004</v>
      </c>
      <c r="D30" s="5">
        <v>587.399</v>
      </c>
      <c r="E30" s="5">
        <v>587.68899999999996</v>
      </c>
      <c r="F30" s="5">
        <v>589.21199999999999</v>
      </c>
      <c r="G30" s="5">
        <v>589.79700000000003</v>
      </c>
      <c r="H30" s="5">
        <v>587.83799999999997</v>
      </c>
      <c r="I30" s="5">
        <v>587.43100000000004</v>
      </c>
      <c r="J30" s="5">
        <v>615.23599999999999</v>
      </c>
      <c r="K30" s="5">
        <v>615.29200000000003</v>
      </c>
      <c r="L30" s="5">
        <v>609.78099999999995</v>
      </c>
      <c r="M30" s="5">
        <v>925.60799999999995</v>
      </c>
      <c r="N30" s="5">
        <v>404.13799999999998</v>
      </c>
      <c r="O30" s="5">
        <v>339.452</v>
      </c>
      <c r="P30" s="5">
        <v>425.18599999999998</v>
      </c>
      <c r="Q30" s="5">
        <v>561.45799999999997</v>
      </c>
      <c r="R30" s="5">
        <v>547.78</v>
      </c>
      <c r="S30" s="5">
        <v>491.02</v>
      </c>
      <c r="T30" s="5">
        <v>399.14499999999998</v>
      </c>
      <c r="U30" s="5">
        <v>455.31</v>
      </c>
      <c r="V30" s="5">
        <v>509.10500000000002</v>
      </c>
      <c r="W30" s="5">
        <v>464.45499999999998</v>
      </c>
      <c r="X30" s="5">
        <v>651.57899999999995</v>
      </c>
      <c r="Y30" s="5">
        <v>637.09</v>
      </c>
      <c r="Z30" s="5">
        <v>588.88800000000003</v>
      </c>
      <c r="AA30" s="5">
        <v>473.33100000000002</v>
      </c>
      <c r="AB30" s="5">
        <v>408.59300000000002</v>
      </c>
      <c r="AC30" s="5">
        <v>0</v>
      </c>
      <c r="AD30" s="5">
        <v>118.19</v>
      </c>
      <c r="AE30" s="5">
        <v>135.20099999999999</v>
      </c>
      <c r="AF30" s="5">
        <v>672.69500000000005</v>
      </c>
      <c r="AG30" s="5">
        <v>43.847999999999999</v>
      </c>
      <c r="AH30" s="5">
        <v>205.64599999999999</v>
      </c>
      <c r="AI30" s="5">
        <v>232.10400000000001</v>
      </c>
      <c r="AJ30" s="5">
        <v>644.41300000000001</v>
      </c>
      <c r="AK30" s="5">
        <v>734.70299999999997</v>
      </c>
      <c r="AL30" s="5">
        <v>362.52100000000002</v>
      </c>
      <c r="AM30" s="5">
        <v>673.39800000000002</v>
      </c>
      <c r="AN30" s="5">
        <v>396.66500000000002</v>
      </c>
      <c r="AO30" s="5">
        <v>529.21299999999997</v>
      </c>
      <c r="AP30" s="5">
        <v>648.42999999999995</v>
      </c>
      <c r="AQ30" s="5">
        <v>738.702</v>
      </c>
      <c r="AR30" s="5">
        <v>576.34900000000005</v>
      </c>
      <c r="AS30" s="5">
        <v>779.84799999999996</v>
      </c>
      <c r="AT30" s="5">
        <v>534.23400000000004</v>
      </c>
      <c r="AU30">
        <v>573</v>
      </c>
      <c r="AV30">
        <v>19.350999999999999</v>
      </c>
      <c r="AW30">
        <v>763.29899999999998</v>
      </c>
    </row>
    <row r="31" spans="1:49" x14ac:dyDescent="0.3">
      <c r="A31" s="5" t="s">
        <v>81</v>
      </c>
      <c r="B31" s="5">
        <v>589.16700000000003</v>
      </c>
      <c r="C31" s="5">
        <v>589.04100000000005</v>
      </c>
      <c r="D31" s="5">
        <v>587.23500000000001</v>
      </c>
      <c r="E31" s="5">
        <v>587.52499999999998</v>
      </c>
      <c r="F31" s="5">
        <v>589.048</v>
      </c>
      <c r="G31" s="5">
        <v>589.63300000000004</v>
      </c>
      <c r="H31" s="5">
        <v>587.67399999999998</v>
      </c>
      <c r="I31" s="5">
        <v>587.26700000000005</v>
      </c>
      <c r="J31" s="5">
        <v>615.072</v>
      </c>
      <c r="K31" s="5">
        <v>615.12800000000004</v>
      </c>
      <c r="L31" s="5">
        <v>609.61699999999996</v>
      </c>
      <c r="M31" s="5">
        <v>838.42100000000005</v>
      </c>
      <c r="N31" s="5">
        <v>378.553</v>
      </c>
      <c r="O31" s="5">
        <v>313.86700000000002</v>
      </c>
      <c r="P31" s="5">
        <v>427.89600000000002</v>
      </c>
      <c r="Q31" s="5">
        <v>631.58399999999995</v>
      </c>
      <c r="R31" s="5">
        <v>535.22500000000002</v>
      </c>
      <c r="S31" s="5">
        <v>419.11399999999998</v>
      </c>
      <c r="T31" s="5">
        <v>469.27100000000002</v>
      </c>
      <c r="U31" s="5">
        <v>465.41500000000002</v>
      </c>
      <c r="V31" s="5">
        <v>579.23099999999999</v>
      </c>
      <c r="W31" s="5">
        <v>534.58100000000002</v>
      </c>
      <c r="X31" s="5">
        <v>625.07399999999996</v>
      </c>
      <c r="Y31" s="5">
        <v>610.58500000000004</v>
      </c>
      <c r="Z31" s="5">
        <v>588.72400000000005</v>
      </c>
      <c r="AA31" s="5">
        <v>473.16699999999997</v>
      </c>
      <c r="AB31" s="5">
        <v>478.71899999999999</v>
      </c>
      <c r="AC31" s="5">
        <v>116.63</v>
      </c>
      <c r="AD31" s="5">
        <v>0</v>
      </c>
      <c r="AE31" s="5">
        <v>104.554</v>
      </c>
      <c r="AF31" s="5">
        <v>646.19000000000005</v>
      </c>
      <c r="AG31" s="5">
        <v>79.447999999999993</v>
      </c>
      <c r="AH31" s="5">
        <v>254.75899999999999</v>
      </c>
      <c r="AI31" s="5">
        <v>205.59899999999999</v>
      </c>
      <c r="AJ31" s="5">
        <v>714.53899999999999</v>
      </c>
      <c r="AK31" s="5">
        <v>734.53899999999999</v>
      </c>
      <c r="AL31" s="5">
        <v>432.64699999999999</v>
      </c>
      <c r="AM31" s="5">
        <v>586.21100000000001</v>
      </c>
      <c r="AN31" s="5">
        <v>309.47800000000001</v>
      </c>
      <c r="AO31" s="5">
        <v>442.02600000000001</v>
      </c>
      <c r="AP31" s="5">
        <v>561.24300000000005</v>
      </c>
      <c r="AQ31" s="5">
        <v>738.53800000000001</v>
      </c>
      <c r="AR31" s="5">
        <v>489.16199999999998</v>
      </c>
      <c r="AS31" s="5">
        <v>692.66099999999994</v>
      </c>
      <c r="AT31" s="5">
        <v>447.04700000000003</v>
      </c>
      <c r="AU31">
        <v>572.83600000000001</v>
      </c>
      <c r="AV31">
        <v>133.49799999999999</v>
      </c>
      <c r="AW31">
        <v>736.79399999999998</v>
      </c>
    </row>
    <row r="32" spans="1:49" x14ac:dyDescent="0.3">
      <c r="A32" s="5" t="s">
        <v>84</v>
      </c>
      <c r="B32" s="5">
        <v>712.22500000000002</v>
      </c>
      <c r="C32" s="5">
        <v>712.09900000000005</v>
      </c>
      <c r="D32" s="5">
        <v>710.29300000000001</v>
      </c>
      <c r="E32" s="5">
        <v>710.58299999999997</v>
      </c>
      <c r="F32" s="5">
        <v>712.10599999999999</v>
      </c>
      <c r="G32" s="5">
        <v>712.69100000000003</v>
      </c>
      <c r="H32" s="5">
        <v>710.73199999999997</v>
      </c>
      <c r="I32" s="5">
        <v>710.32500000000005</v>
      </c>
      <c r="J32" s="5">
        <v>738.13</v>
      </c>
      <c r="K32" s="5">
        <v>738.18600000000004</v>
      </c>
      <c r="L32" s="5">
        <v>732.67499999999995</v>
      </c>
      <c r="M32" s="5">
        <v>961.47900000000004</v>
      </c>
      <c r="N32" s="5">
        <v>501.61099999999999</v>
      </c>
      <c r="O32" s="5">
        <v>436.92500000000001</v>
      </c>
      <c r="P32" s="5">
        <v>550.95399999999995</v>
      </c>
      <c r="Q32" s="5">
        <v>693.654</v>
      </c>
      <c r="R32" s="5">
        <v>679.976</v>
      </c>
      <c r="S32" s="5">
        <v>542.17200000000003</v>
      </c>
      <c r="T32" s="5">
        <v>531.34100000000001</v>
      </c>
      <c r="U32" s="5">
        <v>588.47299999999996</v>
      </c>
      <c r="V32" s="5">
        <v>641.30100000000004</v>
      </c>
      <c r="W32" s="5">
        <v>596.65099999999995</v>
      </c>
      <c r="X32" s="5">
        <v>529.24900000000002</v>
      </c>
      <c r="Y32" s="5">
        <v>514.76</v>
      </c>
      <c r="Z32" s="5">
        <v>711.78200000000004</v>
      </c>
      <c r="AA32" s="5">
        <v>596.22500000000002</v>
      </c>
      <c r="AB32" s="5">
        <v>540.78899999999999</v>
      </c>
      <c r="AC32" s="5">
        <v>135.505</v>
      </c>
      <c r="AD32" s="5">
        <v>104.797</v>
      </c>
      <c r="AE32" s="5">
        <v>0</v>
      </c>
      <c r="AF32" s="5">
        <v>550.36500000000001</v>
      </c>
      <c r="AG32" s="5">
        <v>176.04400000000001</v>
      </c>
      <c r="AH32" s="5">
        <v>248.83799999999999</v>
      </c>
      <c r="AI32" s="5">
        <v>109.774</v>
      </c>
      <c r="AJ32" s="5">
        <v>776.60900000000004</v>
      </c>
      <c r="AK32" s="5">
        <v>857.59699999999998</v>
      </c>
      <c r="AL32" s="5">
        <v>494.71699999999998</v>
      </c>
      <c r="AM32" s="5">
        <v>709.26900000000001</v>
      </c>
      <c r="AN32" s="5">
        <v>432.536</v>
      </c>
      <c r="AO32" s="5">
        <v>565.08399999999995</v>
      </c>
      <c r="AP32" s="5">
        <v>630.47799999999995</v>
      </c>
      <c r="AQ32" s="5">
        <v>861.596</v>
      </c>
      <c r="AR32" s="5">
        <v>612.22</v>
      </c>
      <c r="AS32" s="5">
        <v>815.71900000000005</v>
      </c>
      <c r="AT32" s="5">
        <v>570.10500000000002</v>
      </c>
      <c r="AU32">
        <v>695.89400000000001</v>
      </c>
      <c r="AV32">
        <v>146.28200000000001</v>
      </c>
      <c r="AW32">
        <v>640.96900000000005</v>
      </c>
    </row>
    <row r="33" spans="1:49" x14ac:dyDescent="0.3">
      <c r="A33" s="5" t="s">
        <v>87</v>
      </c>
      <c r="B33" s="5">
        <v>809.95899999999995</v>
      </c>
      <c r="C33" s="5">
        <v>809.83299999999997</v>
      </c>
      <c r="D33" s="5">
        <v>813.08500000000004</v>
      </c>
      <c r="E33" s="5">
        <v>810.44399999999996</v>
      </c>
      <c r="F33" s="5">
        <v>809.84</v>
      </c>
      <c r="G33" s="5">
        <v>815.48299999999995</v>
      </c>
      <c r="H33" s="5">
        <v>813.524</v>
      </c>
      <c r="I33" s="5">
        <v>808.05899999999997</v>
      </c>
      <c r="J33" s="5">
        <v>843.09199999999998</v>
      </c>
      <c r="K33" s="5">
        <v>843.14800000000002</v>
      </c>
      <c r="L33" s="5">
        <v>830.40899999999999</v>
      </c>
      <c r="M33" s="5">
        <v>814.678</v>
      </c>
      <c r="N33" s="5">
        <v>704.42200000000003</v>
      </c>
      <c r="O33" s="5">
        <v>702.01</v>
      </c>
      <c r="P33" s="5">
        <v>755.52499999999998</v>
      </c>
      <c r="Q33" s="5">
        <v>1181.2819999999999</v>
      </c>
      <c r="R33" s="5">
        <v>859.40499999999997</v>
      </c>
      <c r="S33" s="5">
        <v>682.84500000000003</v>
      </c>
      <c r="T33" s="5">
        <v>940.59699999999998</v>
      </c>
      <c r="U33" s="5">
        <v>793.04399999999998</v>
      </c>
      <c r="V33" s="5">
        <v>1175.452</v>
      </c>
      <c r="W33" s="5">
        <v>1084.9059999999999</v>
      </c>
      <c r="X33" s="5">
        <v>24.347999999999999</v>
      </c>
      <c r="Y33" s="5">
        <v>37.341000000000001</v>
      </c>
      <c r="Z33" s="5">
        <v>809.52499999999998</v>
      </c>
      <c r="AA33" s="5">
        <v>800.79600000000005</v>
      </c>
      <c r="AB33" s="5">
        <v>1074.94</v>
      </c>
      <c r="AC33" s="5">
        <v>672.49099999999999</v>
      </c>
      <c r="AD33" s="5">
        <v>646.47900000000004</v>
      </c>
      <c r="AE33" s="5">
        <v>550.63599999999997</v>
      </c>
      <c r="AF33" s="5">
        <v>0</v>
      </c>
      <c r="AG33" s="5">
        <v>713.03</v>
      </c>
      <c r="AH33" s="5">
        <v>630.38400000000001</v>
      </c>
      <c r="AI33" s="5">
        <v>445.245</v>
      </c>
      <c r="AJ33" s="5">
        <v>1310.76</v>
      </c>
      <c r="AK33" s="5">
        <v>961.01099999999997</v>
      </c>
      <c r="AL33" s="5">
        <v>1031.703</v>
      </c>
      <c r="AM33" s="5">
        <v>434.95400000000001</v>
      </c>
      <c r="AN33" s="5">
        <v>503.375</v>
      </c>
      <c r="AO33" s="5">
        <v>367.57900000000001</v>
      </c>
      <c r="AP33" s="5">
        <v>326.48899999999998</v>
      </c>
      <c r="AQ33" s="5">
        <v>839.35199999999998</v>
      </c>
      <c r="AR33" s="5">
        <v>470.28100000000001</v>
      </c>
      <c r="AS33" s="5">
        <v>668.91800000000001</v>
      </c>
      <c r="AT33" s="5">
        <v>604.39099999999996</v>
      </c>
      <c r="AU33">
        <v>790.77800000000002</v>
      </c>
      <c r="AV33">
        <v>681.42899999999997</v>
      </c>
      <c r="AW33">
        <v>153.488</v>
      </c>
    </row>
    <row r="34" spans="1:49" x14ac:dyDescent="0.3">
      <c r="A34" s="5" t="s">
        <v>90</v>
      </c>
      <c r="B34" s="5">
        <v>553.52</v>
      </c>
      <c r="C34" s="5">
        <v>553.39400000000001</v>
      </c>
      <c r="D34" s="5">
        <v>551.58799999999997</v>
      </c>
      <c r="E34" s="5">
        <v>551.87800000000004</v>
      </c>
      <c r="F34" s="5">
        <v>553.40099999999995</v>
      </c>
      <c r="G34" s="5">
        <v>553.98599999999999</v>
      </c>
      <c r="H34" s="5">
        <v>552.02700000000004</v>
      </c>
      <c r="I34" s="5">
        <v>551.62</v>
      </c>
      <c r="J34" s="5">
        <v>579.42499999999995</v>
      </c>
      <c r="K34" s="5">
        <v>579.48099999999999</v>
      </c>
      <c r="L34" s="5">
        <v>573.97</v>
      </c>
      <c r="M34" s="5">
        <v>887.18</v>
      </c>
      <c r="N34" s="5">
        <v>427.31200000000001</v>
      </c>
      <c r="O34" s="5">
        <v>362.62599999999998</v>
      </c>
      <c r="P34" s="5">
        <v>389.375</v>
      </c>
      <c r="Q34" s="5">
        <v>554.80799999999999</v>
      </c>
      <c r="R34" s="5">
        <v>511.96899999999999</v>
      </c>
      <c r="S34" s="5">
        <v>467.87299999999999</v>
      </c>
      <c r="T34" s="5">
        <v>392.495</v>
      </c>
      <c r="U34" s="5">
        <v>419.49900000000002</v>
      </c>
      <c r="V34" s="5">
        <v>502.45499999999998</v>
      </c>
      <c r="W34" s="5">
        <v>457.80500000000001</v>
      </c>
      <c r="X34" s="5">
        <v>690.97400000000005</v>
      </c>
      <c r="Y34" s="5">
        <v>676.48500000000001</v>
      </c>
      <c r="Z34" s="5">
        <v>553.077</v>
      </c>
      <c r="AA34" s="5">
        <v>437.52</v>
      </c>
      <c r="AB34" s="5">
        <v>401.94299999999998</v>
      </c>
      <c r="AC34" s="5">
        <v>41.878</v>
      </c>
      <c r="AD34" s="5">
        <v>79.762</v>
      </c>
      <c r="AE34" s="5">
        <v>174.596</v>
      </c>
      <c r="AF34" s="5">
        <v>712.09</v>
      </c>
      <c r="AG34" s="5">
        <v>0</v>
      </c>
      <c r="AH34" s="5">
        <v>245.041</v>
      </c>
      <c r="AI34" s="5">
        <v>271.49900000000002</v>
      </c>
      <c r="AJ34" s="5">
        <v>637.76300000000003</v>
      </c>
      <c r="AK34" s="5">
        <v>698.89200000000005</v>
      </c>
      <c r="AL34" s="5">
        <v>355.87099999999998</v>
      </c>
      <c r="AM34" s="5">
        <v>634.97</v>
      </c>
      <c r="AN34" s="5">
        <v>358.23700000000002</v>
      </c>
      <c r="AO34" s="5">
        <v>490.78500000000003</v>
      </c>
      <c r="AP34" s="5">
        <v>610.00199999999995</v>
      </c>
      <c r="AQ34" s="5">
        <v>702.89099999999996</v>
      </c>
      <c r="AR34" s="5">
        <v>537.92100000000005</v>
      </c>
      <c r="AS34" s="5">
        <v>741.42</v>
      </c>
      <c r="AT34" s="5">
        <v>495.80599999999998</v>
      </c>
      <c r="AU34">
        <v>537.18899999999996</v>
      </c>
      <c r="AV34">
        <v>58.746000000000002</v>
      </c>
      <c r="AW34">
        <v>802.69399999999996</v>
      </c>
    </row>
    <row r="35" spans="1:49" x14ac:dyDescent="0.3">
      <c r="A35" s="5" t="s">
        <v>93</v>
      </c>
      <c r="B35" s="5">
        <v>794.49900000000002</v>
      </c>
      <c r="C35" s="5">
        <v>794.37300000000005</v>
      </c>
      <c r="D35" s="5">
        <v>792.56700000000001</v>
      </c>
      <c r="E35" s="5">
        <v>792.85699999999997</v>
      </c>
      <c r="F35" s="5">
        <v>794.38</v>
      </c>
      <c r="G35" s="5">
        <v>794.96500000000003</v>
      </c>
      <c r="H35" s="5">
        <v>793.00599999999997</v>
      </c>
      <c r="I35" s="5">
        <v>792.59900000000005</v>
      </c>
      <c r="J35" s="5">
        <v>820.404</v>
      </c>
      <c r="K35" s="5">
        <v>820.46</v>
      </c>
      <c r="L35" s="5">
        <v>814.94899999999996</v>
      </c>
      <c r="M35" s="5">
        <v>1130.7760000000001</v>
      </c>
      <c r="N35" s="5">
        <v>609.30600000000004</v>
      </c>
      <c r="O35" s="5">
        <v>544.62</v>
      </c>
      <c r="P35" s="5">
        <v>630.35400000000004</v>
      </c>
      <c r="Q35" s="5">
        <v>766.62599999999998</v>
      </c>
      <c r="R35" s="5">
        <v>752.94799999999998</v>
      </c>
      <c r="S35" s="5">
        <v>696.18799999999999</v>
      </c>
      <c r="T35" s="5">
        <v>604.31299999999999</v>
      </c>
      <c r="U35" s="5">
        <v>660.47799999999995</v>
      </c>
      <c r="V35" s="5">
        <v>714.27300000000002</v>
      </c>
      <c r="W35" s="5">
        <v>669.62300000000005</v>
      </c>
      <c r="X35" s="5">
        <v>610.19600000000003</v>
      </c>
      <c r="Y35" s="5">
        <v>595.70699999999999</v>
      </c>
      <c r="Z35" s="5">
        <v>794.05600000000004</v>
      </c>
      <c r="AA35" s="5">
        <v>678.49900000000002</v>
      </c>
      <c r="AB35" s="5">
        <v>613.76099999999997</v>
      </c>
      <c r="AC35" s="5">
        <v>208.477</v>
      </c>
      <c r="AD35" s="5">
        <v>259.596</v>
      </c>
      <c r="AE35" s="5">
        <v>203.214</v>
      </c>
      <c r="AF35" s="5">
        <v>631.31200000000001</v>
      </c>
      <c r="AG35" s="5">
        <v>249.01599999999999</v>
      </c>
      <c r="AH35" s="5">
        <v>0</v>
      </c>
      <c r="AI35" s="5">
        <v>204.84399999999999</v>
      </c>
      <c r="AJ35" s="5">
        <v>849.58100000000002</v>
      </c>
      <c r="AK35" s="5">
        <v>939.87099999999998</v>
      </c>
      <c r="AL35" s="5">
        <v>567.68899999999996</v>
      </c>
      <c r="AM35" s="5">
        <v>819.89</v>
      </c>
      <c r="AN35" s="5">
        <v>601.83299999999997</v>
      </c>
      <c r="AO35" s="5">
        <v>734.38099999999997</v>
      </c>
      <c r="AP35" s="5">
        <v>711.42499999999995</v>
      </c>
      <c r="AQ35" s="5">
        <v>943.87</v>
      </c>
      <c r="AR35" s="5">
        <v>781.51700000000005</v>
      </c>
      <c r="AS35" s="5">
        <v>985.01599999999996</v>
      </c>
      <c r="AT35" s="5">
        <v>739.40200000000004</v>
      </c>
      <c r="AU35">
        <v>778.16800000000001</v>
      </c>
      <c r="AV35">
        <v>219.25399999999999</v>
      </c>
      <c r="AW35">
        <v>721.91600000000005</v>
      </c>
    </row>
    <row r="36" spans="1:49" x14ac:dyDescent="0.3">
      <c r="A36" s="5" t="s">
        <v>96</v>
      </c>
      <c r="B36" s="5">
        <v>673.82899999999995</v>
      </c>
      <c r="C36" s="5">
        <v>673.70299999999997</v>
      </c>
      <c r="D36" s="5">
        <v>671.89700000000005</v>
      </c>
      <c r="E36" s="5">
        <v>672.18700000000001</v>
      </c>
      <c r="F36" s="5">
        <v>673.71</v>
      </c>
      <c r="G36" s="5">
        <v>674.29499999999996</v>
      </c>
      <c r="H36" s="5">
        <v>672.33600000000001</v>
      </c>
      <c r="I36" s="5">
        <v>671.92899999999997</v>
      </c>
      <c r="J36" s="5">
        <v>699.73400000000004</v>
      </c>
      <c r="K36" s="5">
        <v>699.79</v>
      </c>
      <c r="L36" s="5">
        <v>694.279</v>
      </c>
      <c r="M36" s="5">
        <v>923.08299999999997</v>
      </c>
      <c r="N36" s="5">
        <v>463.21499999999997</v>
      </c>
      <c r="O36" s="5">
        <v>398.529</v>
      </c>
      <c r="P36" s="5">
        <v>512.55799999999999</v>
      </c>
      <c r="Q36" s="5">
        <v>790.125</v>
      </c>
      <c r="R36" s="5">
        <v>619.88699999999994</v>
      </c>
      <c r="S36" s="5">
        <v>503.77600000000001</v>
      </c>
      <c r="T36" s="5">
        <v>627.81200000000001</v>
      </c>
      <c r="U36" s="5">
        <v>550.077</v>
      </c>
      <c r="V36" s="5">
        <v>737.77200000000005</v>
      </c>
      <c r="W36" s="5">
        <v>693.12199999999996</v>
      </c>
      <c r="X36" s="5">
        <v>424.80599999999998</v>
      </c>
      <c r="Y36" s="5">
        <v>410.31700000000001</v>
      </c>
      <c r="Z36" s="5">
        <v>673.38599999999997</v>
      </c>
      <c r="AA36" s="5">
        <v>557.82899999999995</v>
      </c>
      <c r="AB36" s="5">
        <v>637.26</v>
      </c>
      <c r="AC36" s="5">
        <v>231.976</v>
      </c>
      <c r="AD36" s="5">
        <v>205.964</v>
      </c>
      <c r="AE36" s="5">
        <v>110.121</v>
      </c>
      <c r="AF36" s="5">
        <v>445.92200000000003</v>
      </c>
      <c r="AG36" s="5">
        <v>272.51499999999999</v>
      </c>
      <c r="AH36" s="5">
        <v>205.13499999999999</v>
      </c>
      <c r="AI36" s="5">
        <v>0</v>
      </c>
      <c r="AJ36" s="5">
        <v>873.08</v>
      </c>
      <c r="AK36" s="5">
        <v>819.20100000000002</v>
      </c>
      <c r="AL36" s="5">
        <v>591.18799999999999</v>
      </c>
      <c r="AM36" s="5">
        <v>634.5</v>
      </c>
      <c r="AN36" s="5">
        <v>394.14</v>
      </c>
      <c r="AO36" s="5">
        <v>526.68799999999999</v>
      </c>
      <c r="AP36" s="5">
        <v>526.03499999999997</v>
      </c>
      <c r="AQ36" s="5">
        <v>823.2</v>
      </c>
      <c r="AR36" s="5">
        <v>573.82399999999996</v>
      </c>
      <c r="AS36" s="5">
        <v>777.32299999999998</v>
      </c>
      <c r="AT36" s="5">
        <v>531.70899999999995</v>
      </c>
      <c r="AU36">
        <v>657.49800000000005</v>
      </c>
      <c r="AV36">
        <v>242.75299999999999</v>
      </c>
      <c r="AW36">
        <v>536.52599999999995</v>
      </c>
    </row>
    <row r="37" spans="1:49" x14ac:dyDescent="0.3">
      <c r="A37" s="5" t="s">
        <v>99</v>
      </c>
      <c r="B37" s="5">
        <v>587.78399999999999</v>
      </c>
      <c r="C37" s="5">
        <v>587.65800000000002</v>
      </c>
      <c r="D37" s="5">
        <v>585.85199999999998</v>
      </c>
      <c r="E37" s="5">
        <v>586.14200000000005</v>
      </c>
      <c r="F37" s="5">
        <v>587.66499999999996</v>
      </c>
      <c r="G37" s="5">
        <v>588.25</v>
      </c>
      <c r="H37" s="5">
        <v>586.29100000000005</v>
      </c>
      <c r="I37" s="5">
        <v>585.88400000000001</v>
      </c>
      <c r="J37" s="5">
        <v>613.68899999999996</v>
      </c>
      <c r="K37" s="5">
        <v>613.745</v>
      </c>
      <c r="L37" s="5">
        <v>608.23400000000004</v>
      </c>
      <c r="M37" s="5">
        <v>1086.441</v>
      </c>
      <c r="N37" s="5">
        <v>614.15700000000004</v>
      </c>
      <c r="O37" s="5">
        <v>607.75199999999995</v>
      </c>
      <c r="P37" s="5">
        <v>556.93299999999999</v>
      </c>
      <c r="Q37" s="5">
        <v>148.18799999999999</v>
      </c>
      <c r="R37" s="5">
        <v>495.66500000000002</v>
      </c>
      <c r="S37" s="5">
        <v>645.14499999999998</v>
      </c>
      <c r="T37" s="5">
        <v>389.26600000000002</v>
      </c>
      <c r="U37" s="5">
        <v>574.28599999999994</v>
      </c>
      <c r="V37" s="5">
        <v>138.32300000000001</v>
      </c>
      <c r="W37" s="5">
        <v>235.27500000000001</v>
      </c>
      <c r="X37" s="5">
        <v>1290.6669999999999</v>
      </c>
      <c r="Y37" s="5">
        <v>1276.1780000000001</v>
      </c>
      <c r="Z37" s="5">
        <v>587.34100000000001</v>
      </c>
      <c r="AA37" s="5">
        <v>592.30700000000002</v>
      </c>
      <c r="AB37" s="5">
        <v>265.61799999999999</v>
      </c>
      <c r="AC37" s="5">
        <v>644.29499999999996</v>
      </c>
      <c r="AD37" s="5">
        <v>720.16200000000003</v>
      </c>
      <c r="AE37" s="5">
        <v>777.01300000000003</v>
      </c>
      <c r="AF37" s="5">
        <v>1311.7829999999999</v>
      </c>
      <c r="AG37" s="5">
        <v>642.92499999999995</v>
      </c>
      <c r="AH37" s="5">
        <v>847.45799999999997</v>
      </c>
      <c r="AI37" s="5">
        <v>873.91600000000005</v>
      </c>
      <c r="AJ37" s="5">
        <v>0</v>
      </c>
      <c r="AK37" s="5">
        <v>619.58199999999999</v>
      </c>
      <c r="AL37" s="5">
        <v>292.55500000000001</v>
      </c>
      <c r="AM37" s="5">
        <v>1089.6410000000001</v>
      </c>
      <c r="AN37" s="5">
        <v>812.90800000000002</v>
      </c>
      <c r="AO37" s="5">
        <v>945.45699999999999</v>
      </c>
      <c r="AP37" s="5">
        <v>1064.673</v>
      </c>
      <c r="AQ37" s="5">
        <v>737.15499999999997</v>
      </c>
      <c r="AR37" s="5">
        <v>880.35199999999998</v>
      </c>
      <c r="AS37" s="5">
        <v>1024.748</v>
      </c>
      <c r="AT37" s="5">
        <v>724.00400000000002</v>
      </c>
      <c r="AU37">
        <v>571.45299999999997</v>
      </c>
      <c r="AV37">
        <v>661.16300000000001</v>
      </c>
      <c r="AW37">
        <v>1402.3869999999999</v>
      </c>
    </row>
    <row r="38" spans="1:49" x14ac:dyDescent="0.3">
      <c r="A38" s="5" t="s">
        <v>102</v>
      </c>
      <c r="B38" s="5">
        <v>141.93700000000001</v>
      </c>
      <c r="C38" s="5">
        <v>142.017</v>
      </c>
      <c r="D38" s="5">
        <v>145.34299999999999</v>
      </c>
      <c r="E38" s="5">
        <v>142.65</v>
      </c>
      <c r="F38" s="5">
        <v>142.47900000000001</v>
      </c>
      <c r="G38" s="5">
        <v>141.52000000000001</v>
      </c>
      <c r="H38" s="5">
        <v>145.78200000000001</v>
      </c>
      <c r="I38" s="5">
        <v>146.65299999999999</v>
      </c>
      <c r="J38" s="5">
        <v>142.315</v>
      </c>
      <c r="K38" s="5">
        <v>142.37100000000001</v>
      </c>
      <c r="L38" s="5">
        <v>136.86000000000001</v>
      </c>
      <c r="M38" s="5">
        <v>544.75800000000004</v>
      </c>
      <c r="N38" s="5">
        <v>366.06</v>
      </c>
      <c r="O38" s="5">
        <v>429.67899999999997</v>
      </c>
      <c r="P38" s="5">
        <v>357.55399999999997</v>
      </c>
      <c r="Q38" s="5">
        <v>484.69499999999999</v>
      </c>
      <c r="R38" s="5">
        <v>237.90100000000001</v>
      </c>
      <c r="S38" s="5">
        <v>397.048</v>
      </c>
      <c r="T38" s="5">
        <v>422.43700000000001</v>
      </c>
      <c r="U38" s="5">
        <v>286.63400000000001</v>
      </c>
      <c r="V38" s="5">
        <v>574.75199999999995</v>
      </c>
      <c r="W38" s="5">
        <v>439.81599999999997</v>
      </c>
      <c r="X38" s="5">
        <v>940.56100000000004</v>
      </c>
      <c r="Y38" s="5">
        <v>926.072</v>
      </c>
      <c r="Z38" s="5">
        <v>168.78700000000001</v>
      </c>
      <c r="AA38" s="5">
        <v>282.221</v>
      </c>
      <c r="AB38" s="5">
        <v>556.78</v>
      </c>
      <c r="AC38" s="5">
        <v>734.49300000000005</v>
      </c>
      <c r="AD38" s="5">
        <v>736.35</v>
      </c>
      <c r="AE38" s="5">
        <v>867.21100000000001</v>
      </c>
      <c r="AF38" s="5">
        <v>961.67700000000002</v>
      </c>
      <c r="AG38" s="5">
        <v>699.625</v>
      </c>
      <c r="AH38" s="5">
        <v>937.65599999999995</v>
      </c>
      <c r="AI38" s="5">
        <v>821.01099999999997</v>
      </c>
      <c r="AJ38" s="5">
        <v>619.44299999999998</v>
      </c>
      <c r="AK38" s="5">
        <v>0</v>
      </c>
      <c r="AL38" s="5">
        <v>519.90700000000004</v>
      </c>
      <c r="AM38" s="5">
        <v>699.88300000000004</v>
      </c>
      <c r="AN38" s="5">
        <v>564.81100000000004</v>
      </c>
      <c r="AO38" s="5">
        <v>679.89599999999996</v>
      </c>
      <c r="AP38" s="5">
        <v>715.46</v>
      </c>
      <c r="AQ38" s="5">
        <v>194.74600000000001</v>
      </c>
      <c r="AR38" s="5">
        <v>493.31099999999998</v>
      </c>
      <c r="AS38" s="5">
        <v>625.76400000000001</v>
      </c>
      <c r="AT38" s="5">
        <v>397.41199999999998</v>
      </c>
      <c r="AU38">
        <v>175.53399999999999</v>
      </c>
      <c r="AV38">
        <v>751.36099999999999</v>
      </c>
      <c r="AW38">
        <v>1052.2809999999999</v>
      </c>
    </row>
    <row r="39" spans="1:49" x14ac:dyDescent="0.3">
      <c r="A39" s="5" t="s">
        <v>105</v>
      </c>
      <c r="B39" s="5">
        <v>398.32900000000001</v>
      </c>
      <c r="C39" s="5">
        <v>398.20299999999997</v>
      </c>
      <c r="D39" s="5">
        <v>396.39699999999999</v>
      </c>
      <c r="E39" s="5">
        <v>396.68700000000001</v>
      </c>
      <c r="F39" s="5">
        <v>398.21</v>
      </c>
      <c r="G39" s="5">
        <v>398.79500000000002</v>
      </c>
      <c r="H39" s="5">
        <v>396.83600000000001</v>
      </c>
      <c r="I39" s="5">
        <v>396.42899999999997</v>
      </c>
      <c r="J39" s="5">
        <v>424.23399999999998</v>
      </c>
      <c r="K39" s="5">
        <v>424.29</v>
      </c>
      <c r="L39" s="5">
        <v>418.779</v>
      </c>
      <c r="M39" s="5">
        <v>896.98599999999999</v>
      </c>
      <c r="N39" s="5">
        <v>341.654</v>
      </c>
      <c r="O39" s="5">
        <v>335.24900000000002</v>
      </c>
      <c r="P39" s="5">
        <v>306.80799999999999</v>
      </c>
      <c r="Q39" s="5">
        <v>215.083</v>
      </c>
      <c r="R39" s="5">
        <v>306.20999999999998</v>
      </c>
      <c r="S39" s="5">
        <v>372.642</v>
      </c>
      <c r="T39" s="5">
        <v>116.76300000000001</v>
      </c>
      <c r="U39" s="5">
        <v>337.15800000000002</v>
      </c>
      <c r="V39" s="5">
        <v>157.25200000000001</v>
      </c>
      <c r="W39" s="5">
        <v>118.08</v>
      </c>
      <c r="X39" s="5">
        <v>1011.538</v>
      </c>
      <c r="Y39" s="5">
        <v>997.04899999999998</v>
      </c>
      <c r="Z39" s="5">
        <v>397.88600000000002</v>
      </c>
      <c r="AA39" s="5">
        <v>355.17899999999997</v>
      </c>
      <c r="AB39" s="5">
        <v>56.74</v>
      </c>
      <c r="AC39" s="5">
        <v>362.44200000000001</v>
      </c>
      <c r="AD39" s="5">
        <v>438.30900000000003</v>
      </c>
      <c r="AE39" s="5">
        <v>495.16</v>
      </c>
      <c r="AF39" s="5">
        <v>1032.654</v>
      </c>
      <c r="AG39" s="5">
        <v>361.072</v>
      </c>
      <c r="AH39" s="5">
        <v>565.60500000000002</v>
      </c>
      <c r="AI39" s="5">
        <v>592.06299999999999</v>
      </c>
      <c r="AJ39" s="5">
        <v>292.56</v>
      </c>
      <c r="AK39" s="5">
        <v>519.38699999999994</v>
      </c>
      <c r="AL39" s="5">
        <v>0</v>
      </c>
      <c r="AM39" s="5">
        <v>817.13800000000003</v>
      </c>
      <c r="AN39" s="5">
        <v>540.40499999999997</v>
      </c>
      <c r="AO39" s="5">
        <v>672.95299999999997</v>
      </c>
      <c r="AP39" s="5">
        <v>792.17</v>
      </c>
      <c r="AQ39" s="5">
        <v>547.70000000000005</v>
      </c>
      <c r="AR39" s="5">
        <v>676.73400000000004</v>
      </c>
      <c r="AS39" s="5">
        <v>821.13</v>
      </c>
      <c r="AT39" s="5">
        <v>451.50099999999998</v>
      </c>
      <c r="AU39">
        <v>381.99799999999999</v>
      </c>
      <c r="AV39">
        <v>379.31</v>
      </c>
      <c r="AW39">
        <v>1123.258</v>
      </c>
    </row>
    <row r="40" spans="1:49" x14ac:dyDescent="0.3">
      <c r="A40" s="5" t="s">
        <v>108</v>
      </c>
      <c r="B40" s="5">
        <v>548.04700000000003</v>
      </c>
      <c r="C40" s="5">
        <v>547.92100000000005</v>
      </c>
      <c r="D40" s="5">
        <v>551.173</v>
      </c>
      <c r="E40" s="5">
        <v>548.53200000000004</v>
      </c>
      <c r="F40" s="5">
        <v>547.928</v>
      </c>
      <c r="G40" s="5">
        <v>553.57100000000003</v>
      </c>
      <c r="H40" s="5">
        <v>551.61199999999997</v>
      </c>
      <c r="I40" s="5">
        <v>546.14700000000005</v>
      </c>
      <c r="J40" s="5">
        <v>581.17999999999995</v>
      </c>
      <c r="K40" s="5">
        <v>581.23599999999999</v>
      </c>
      <c r="L40" s="5">
        <v>568.49699999999996</v>
      </c>
      <c r="M40" s="5">
        <v>427.97500000000002</v>
      </c>
      <c r="N40" s="5">
        <v>484.68599999999998</v>
      </c>
      <c r="O40" s="5">
        <v>482.274</v>
      </c>
      <c r="P40" s="5">
        <v>535.78899999999999</v>
      </c>
      <c r="Q40" s="5">
        <v>950.2</v>
      </c>
      <c r="R40" s="5">
        <v>597.49300000000005</v>
      </c>
      <c r="S40" s="5">
        <v>463.10899999999998</v>
      </c>
      <c r="T40" s="5">
        <v>720.86099999999999</v>
      </c>
      <c r="U40" s="5">
        <v>551.14400000000001</v>
      </c>
      <c r="V40" s="5">
        <v>955.71600000000001</v>
      </c>
      <c r="W40" s="5">
        <v>853.82399999999996</v>
      </c>
      <c r="X40" s="5">
        <v>414.27800000000002</v>
      </c>
      <c r="Y40" s="5">
        <v>399.78899999999999</v>
      </c>
      <c r="Z40" s="5">
        <v>547.61300000000006</v>
      </c>
      <c r="AA40" s="5">
        <v>546.73099999999999</v>
      </c>
      <c r="AB40" s="5">
        <v>855.20399999999995</v>
      </c>
      <c r="AC40" s="5">
        <v>672.92399999999998</v>
      </c>
      <c r="AD40" s="5">
        <v>586.76499999999999</v>
      </c>
      <c r="AE40" s="5">
        <v>711.00099999999998</v>
      </c>
      <c r="AF40" s="5">
        <v>435.39400000000001</v>
      </c>
      <c r="AG40" s="5">
        <v>635.74199999999996</v>
      </c>
      <c r="AH40" s="5">
        <v>819.80399999999997</v>
      </c>
      <c r="AI40" s="5">
        <v>634.66499999999996</v>
      </c>
      <c r="AJ40" s="5">
        <v>1084.9480000000001</v>
      </c>
      <c r="AK40" s="5">
        <v>699.09900000000005</v>
      </c>
      <c r="AL40" s="5">
        <v>818.33100000000002</v>
      </c>
      <c r="AM40" s="5">
        <v>0</v>
      </c>
      <c r="AN40" s="5">
        <v>283.63900000000001</v>
      </c>
      <c r="AO40" s="5">
        <v>168.15700000000001</v>
      </c>
      <c r="AP40" s="5">
        <v>114.416</v>
      </c>
      <c r="AQ40" s="5">
        <v>561.35199999999998</v>
      </c>
      <c r="AR40" s="5">
        <v>208.369</v>
      </c>
      <c r="AS40" s="5">
        <v>310.05900000000003</v>
      </c>
      <c r="AT40" s="5">
        <v>349.88200000000001</v>
      </c>
      <c r="AU40">
        <v>530.70500000000004</v>
      </c>
      <c r="AV40">
        <v>689.79200000000003</v>
      </c>
      <c r="AW40">
        <v>525.99800000000005</v>
      </c>
    </row>
    <row r="41" spans="1:49" x14ac:dyDescent="0.3">
      <c r="A41" s="5" t="s">
        <v>111</v>
      </c>
      <c r="B41" s="5">
        <v>417.423</v>
      </c>
      <c r="C41" s="5">
        <v>417.29700000000003</v>
      </c>
      <c r="D41" s="5">
        <v>415.49099999999999</v>
      </c>
      <c r="E41" s="5">
        <v>415.78100000000001</v>
      </c>
      <c r="F41" s="5">
        <v>417.30399999999997</v>
      </c>
      <c r="G41" s="5">
        <v>417.88900000000001</v>
      </c>
      <c r="H41" s="5">
        <v>415.93</v>
      </c>
      <c r="I41" s="5">
        <v>415.52300000000002</v>
      </c>
      <c r="J41" s="5">
        <v>443.32799999999997</v>
      </c>
      <c r="K41" s="5">
        <v>443.38400000000001</v>
      </c>
      <c r="L41" s="5">
        <v>437.87299999999999</v>
      </c>
      <c r="M41" s="5">
        <v>606.99400000000003</v>
      </c>
      <c r="N41" s="5">
        <v>205.04900000000001</v>
      </c>
      <c r="O41" s="5">
        <v>202.637</v>
      </c>
      <c r="P41" s="5">
        <v>256.15199999999999</v>
      </c>
      <c r="Q41" s="5">
        <v>681.90899999999999</v>
      </c>
      <c r="R41" s="5">
        <v>363.48099999999999</v>
      </c>
      <c r="S41" s="5">
        <v>183.47200000000001</v>
      </c>
      <c r="T41" s="5">
        <v>441.22399999999999</v>
      </c>
      <c r="U41" s="5">
        <v>293.67099999999999</v>
      </c>
      <c r="V41" s="5">
        <v>676.07899999999995</v>
      </c>
      <c r="W41" s="5">
        <v>585.53300000000002</v>
      </c>
      <c r="X41" s="5">
        <v>482.899</v>
      </c>
      <c r="Y41" s="5">
        <v>468.41</v>
      </c>
      <c r="Z41" s="5">
        <v>416.98</v>
      </c>
      <c r="AA41" s="5">
        <v>301.423</v>
      </c>
      <c r="AB41" s="5">
        <v>575.56700000000001</v>
      </c>
      <c r="AC41" s="5">
        <v>393.28699999999998</v>
      </c>
      <c r="AD41" s="5">
        <v>307.12799999999999</v>
      </c>
      <c r="AE41" s="5">
        <v>431.36399999999998</v>
      </c>
      <c r="AF41" s="5">
        <v>504.01499999999999</v>
      </c>
      <c r="AG41" s="5">
        <v>356.10500000000002</v>
      </c>
      <c r="AH41" s="5">
        <v>596.45000000000005</v>
      </c>
      <c r="AI41" s="5">
        <v>391.78899999999999</v>
      </c>
      <c r="AJ41" s="5">
        <v>811.38699999999994</v>
      </c>
      <c r="AK41" s="5">
        <v>562.79499999999996</v>
      </c>
      <c r="AL41" s="5">
        <v>538.69399999999996</v>
      </c>
      <c r="AM41" s="5">
        <v>281.87299999999999</v>
      </c>
      <c r="AN41" s="5">
        <v>0</v>
      </c>
      <c r="AO41" s="5">
        <v>137.68799999999999</v>
      </c>
      <c r="AP41" s="5">
        <v>256.90499999999997</v>
      </c>
      <c r="AQ41" s="5">
        <v>566.79399999999998</v>
      </c>
      <c r="AR41" s="5">
        <v>260.01600000000002</v>
      </c>
      <c r="AS41" s="5">
        <v>461.23399999999998</v>
      </c>
      <c r="AT41" s="5">
        <v>179.21299999999999</v>
      </c>
      <c r="AU41">
        <v>401.09199999999998</v>
      </c>
      <c r="AV41">
        <v>410.15499999999997</v>
      </c>
      <c r="AW41">
        <v>594.61900000000003</v>
      </c>
    </row>
    <row r="42" spans="1:49" x14ac:dyDescent="0.3">
      <c r="A42" s="5" t="s">
        <v>114</v>
      </c>
      <c r="B42" s="5">
        <v>528.02300000000002</v>
      </c>
      <c r="C42" s="5">
        <v>527.89700000000005</v>
      </c>
      <c r="D42" s="5">
        <v>531.149</v>
      </c>
      <c r="E42" s="5">
        <v>528.50800000000004</v>
      </c>
      <c r="F42" s="5">
        <v>527.904</v>
      </c>
      <c r="G42" s="5">
        <v>533.54700000000003</v>
      </c>
      <c r="H42" s="5">
        <v>531.58799999999997</v>
      </c>
      <c r="I42" s="5">
        <v>526.12300000000005</v>
      </c>
      <c r="J42" s="5">
        <v>561.15599999999995</v>
      </c>
      <c r="K42" s="5">
        <v>561.21199999999999</v>
      </c>
      <c r="L42" s="5">
        <v>548.47299999999996</v>
      </c>
      <c r="M42" s="5">
        <v>532.74199999999996</v>
      </c>
      <c r="N42" s="5">
        <v>338.93900000000002</v>
      </c>
      <c r="O42" s="5">
        <v>336.52699999999999</v>
      </c>
      <c r="P42" s="5">
        <v>390.04199999999997</v>
      </c>
      <c r="Q42" s="5">
        <v>815.8</v>
      </c>
      <c r="R42" s="5">
        <v>497.37099999999998</v>
      </c>
      <c r="S42" s="5">
        <v>317.36200000000002</v>
      </c>
      <c r="T42" s="5">
        <v>575.11500000000001</v>
      </c>
      <c r="U42" s="5">
        <v>427.56099999999998</v>
      </c>
      <c r="V42" s="5">
        <v>809.97</v>
      </c>
      <c r="W42" s="5">
        <v>719.42399999999998</v>
      </c>
      <c r="X42" s="5">
        <v>347.43599999999998</v>
      </c>
      <c r="Y42" s="5">
        <v>332.947</v>
      </c>
      <c r="Z42" s="5">
        <v>527.58900000000006</v>
      </c>
      <c r="AA42" s="5">
        <v>435.31299999999999</v>
      </c>
      <c r="AB42" s="5">
        <v>709.45799999999997</v>
      </c>
      <c r="AC42" s="5">
        <v>527.178</v>
      </c>
      <c r="AD42" s="5">
        <v>441.01799999999997</v>
      </c>
      <c r="AE42" s="5">
        <v>565.255</v>
      </c>
      <c r="AF42" s="5">
        <v>368.55200000000002</v>
      </c>
      <c r="AG42" s="5">
        <v>489.995</v>
      </c>
      <c r="AH42" s="5">
        <v>730.34100000000001</v>
      </c>
      <c r="AI42" s="5">
        <v>525.67999999999995</v>
      </c>
      <c r="AJ42" s="5">
        <v>945.27800000000002</v>
      </c>
      <c r="AK42" s="5">
        <v>679.07500000000005</v>
      </c>
      <c r="AL42" s="5">
        <v>672.58500000000004</v>
      </c>
      <c r="AM42" s="5">
        <v>168.38200000000001</v>
      </c>
      <c r="AN42" s="5">
        <v>137.892</v>
      </c>
      <c r="AO42" s="5">
        <v>0</v>
      </c>
      <c r="AP42" s="5">
        <v>143.41399999999999</v>
      </c>
      <c r="AQ42" s="5">
        <v>557.41600000000005</v>
      </c>
      <c r="AR42" s="5">
        <v>188.34399999999999</v>
      </c>
      <c r="AS42" s="5">
        <v>386.98099999999999</v>
      </c>
      <c r="AT42" s="5">
        <v>239.97399999999999</v>
      </c>
      <c r="AU42">
        <v>510.68</v>
      </c>
      <c r="AV42">
        <v>544.04600000000005</v>
      </c>
      <c r="AW42">
        <v>459.15600000000001</v>
      </c>
    </row>
    <row r="43" spans="1:49" x14ac:dyDescent="0.3">
      <c r="A43" s="5" t="s">
        <v>117</v>
      </c>
      <c r="B43" s="5">
        <v>563.56500000000005</v>
      </c>
      <c r="C43" s="5">
        <v>563.43899999999996</v>
      </c>
      <c r="D43" s="5">
        <v>566.69100000000003</v>
      </c>
      <c r="E43" s="5">
        <v>564.04999999999995</v>
      </c>
      <c r="F43" s="5">
        <v>563.44600000000003</v>
      </c>
      <c r="G43" s="5">
        <v>569.08900000000006</v>
      </c>
      <c r="H43" s="5">
        <v>567.13</v>
      </c>
      <c r="I43" s="5">
        <v>561.66499999999996</v>
      </c>
      <c r="J43" s="5">
        <v>596.69799999999998</v>
      </c>
      <c r="K43" s="5">
        <v>596.75400000000002</v>
      </c>
      <c r="L43" s="5">
        <v>584.01499999999999</v>
      </c>
      <c r="M43" s="5">
        <v>543.40599999999995</v>
      </c>
      <c r="N43" s="5">
        <v>457.68700000000001</v>
      </c>
      <c r="O43" s="5">
        <v>455.27499999999998</v>
      </c>
      <c r="P43" s="5">
        <v>508.79</v>
      </c>
      <c r="Q43" s="5">
        <v>934.54700000000003</v>
      </c>
      <c r="R43" s="5">
        <v>613.01099999999997</v>
      </c>
      <c r="S43" s="5">
        <v>436.11</v>
      </c>
      <c r="T43" s="5">
        <v>693.86199999999997</v>
      </c>
      <c r="U43" s="5">
        <v>546.30899999999997</v>
      </c>
      <c r="V43" s="5">
        <v>928.71699999999998</v>
      </c>
      <c r="W43" s="5">
        <v>838.17100000000005</v>
      </c>
      <c r="X43" s="5">
        <v>307.76600000000002</v>
      </c>
      <c r="Y43" s="5">
        <v>293.27699999999999</v>
      </c>
      <c r="Z43" s="5">
        <v>563.13099999999997</v>
      </c>
      <c r="AA43" s="5">
        <v>562.24900000000002</v>
      </c>
      <c r="AB43" s="5">
        <v>828.20500000000004</v>
      </c>
      <c r="AC43" s="5">
        <v>645.92499999999995</v>
      </c>
      <c r="AD43" s="5">
        <v>559.76599999999996</v>
      </c>
      <c r="AE43" s="5">
        <v>633.54399999999998</v>
      </c>
      <c r="AF43" s="5">
        <v>328.88200000000001</v>
      </c>
      <c r="AG43" s="5">
        <v>608.74300000000005</v>
      </c>
      <c r="AH43" s="5">
        <v>713.29200000000003</v>
      </c>
      <c r="AI43" s="5">
        <v>528.15300000000002</v>
      </c>
      <c r="AJ43" s="5">
        <v>1064.0250000000001</v>
      </c>
      <c r="AK43" s="5">
        <v>714.61699999999996</v>
      </c>
      <c r="AL43" s="5">
        <v>791.33199999999999</v>
      </c>
      <c r="AM43" s="5">
        <v>107.30500000000001</v>
      </c>
      <c r="AN43" s="5">
        <v>256.64</v>
      </c>
      <c r="AO43" s="5">
        <v>141.15799999999999</v>
      </c>
      <c r="AP43" s="5">
        <v>0</v>
      </c>
      <c r="AQ43" s="5">
        <v>592.95799999999997</v>
      </c>
      <c r="AR43" s="5">
        <v>223.887</v>
      </c>
      <c r="AS43" s="5">
        <v>397.64600000000002</v>
      </c>
      <c r="AT43" s="5">
        <v>357.99700000000001</v>
      </c>
      <c r="AU43">
        <v>546.22299999999996</v>
      </c>
      <c r="AV43">
        <v>662.79300000000001</v>
      </c>
      <c r="AW43">
        <v>419.48599999999999</v>
      </c>
    </row>
    <row r="44" spans="1:49" x14ac:dyDescent="0.3">
      <c r="A44" s="5" t="s">
        <v>7</v>
      </c>
      <c r="B44" s="5">
        <v>163.893</v>
      </c>
      <c r="C44" s="5">
        <v>163.767</v>
      </c>
      <c r="D44" s="5">
        <v>174.34100000000001</v>
      </c>
      <c r="E44" s="5">
        <v>164.37799999999999</v>
      </c>
      <c r="F44" s="5">
        <v>163.774</v>
      </c>
      <c r="G44" s="5">
        <v>164.18700000000001</v>
      </c>
      <c r="H44" s="5">
        <v>165.88900000000001</v>
      </c>
      <c r="I44" s="5">
        <v>161.99299999999999</v>
      </c>
      <c r="J44" s="5">
        <v>154.36500000000001</v>
      </c>
      <c r="K44" s="5">
        <v>154.42099999999999</v>
      </c>
      <c r="L44" s="5">
        <v>165.36699999999999</v>
      </c>
      <c r="M44" s="5">
        <v>378.101</v>
      </c>
      <c r="N44" s="5">
        <v>369.18</v>
      </c>
      <c r="O44" s="5">
        <v>432.79899999999998</v>
      </c>
      <c r="P44" s="5">
        <v>360.67399999999998</v>
      </c>
      <c r="Q44" s="5">
        <v>602.41899999999998</v>
      </c>
      <c r="R44" s="5">
        <v>249.71199999999999</v>
      </c>
      <c r="S44" s="5">
        <v>400.16800000000001</v>
      </c>
      <c r="T44" s="5">
        <v>450.46800000000002</v>
      </c>
      <c r="U44" s="5">
        <v>289.75400000000002</v>
      </c>
      <c r="V44" s="5">
        <v>640.97900000000004</v>
      </c>
      <c r="W44" s="5">
        <v>506.04300000000001</v>
      </c>
      <c r="X44" s="5">
        <v>818.11599999999999</v>
      </c>
      <c r="Y44" s="5">
        <v>803.62699999999995</v>
      </c>
      <c r="Z44" s="5">
        <v>162.732</v>
      </c>
      <c r="AA44" s="5">
        <v>285.34100000000001</v>
      </c>
      <c r="AB44" s="5">
        <v>584.81100000000004</v>
      </c>
      <c r="AC44" s="5">
        <v>737.61300000000006</v>
      </c>
      <c r="AD44" s="5">
        <v>739.47</v>
      </c>
      <c r="AE44" s="5">
        <v>870.33100000000002</v>
      </c>
      <c r="AF44" s="5">
        <v>839.23199999999997</v>
      </c>
      <c r="AG44" s="5">
        <v>702.745</v>
      </c>
      <c r="AH44" s="5">
        <v>940.77599999999995</v>
      </c>
      <c r="AI44" s="5">
        <v>824.13099999999997</v>
      </c>
      <c r="AJ44" s="5">
        <v>737.16700000000003</v>
      </c>
      <c r="AK44" s="5">
        <v>196.251</v>
      </c>
      <c r="AL44" s="5">
        <v>547.93799999999999</v>
      </c>
      <c r="AM44" s="5">
        <v>560.60199999999998</v>
      </c>
      <c r="AN44" s="5">
        <v>567.93100000000004</v>
      </c>
      <c r="AO44" s="5">
        <v>557.45100000000002</v>
      </c>
      <c r="AP44" s="5">
        <v>593.01499999999999</v>
      </c>
      <c r="AQ44" s="5">
        <v>0</v>
      </c>
      <c r="AR44" s="5">
        <v>370.86599999999999</v>
      </c>
      <c r="AS44" s="5">
        <v>383.22699999999998</v>
      </c>
      <c r="AT44" s="5">
        <v>384.524</v>
      </c>
      <c r="AU44">
        <v>169.47900000000001</v>
      </c>
      <c r="AV44">
        <v>754.48099999999999</v>
      </c>
      <c r="AW44">
        <v>929.83600000000001</v>
      </c>
    </row>
    <row r="45" spans="1:49" x14ac:dyDescent="0.3">
      <c r="A45" s="5" t="s">
        <v>122</v>
      </c>
      <c r="B45" s="5">
        <v>342.37799999999999</v>
      </c>
      <c r="C45" s="5">
        <v>342.25200000000001</v>
      </c>
      <c r="D45" s="5">
        <v>345.50400000000002</v>
      </c>
      <c r="E45" s="5">
        <v>342.863</v>
      </c>
      <c r="F45" s="5">
        <v>342.25900000000001</v>
      </c>
      <c r="G45" s="5">
        <v>347.90199999999999</v>
      </c>
      <c r="H45" s="5">
        <v>345.94299999999998</v>
      </c>
      <c r="I45" s="5">
        <v>340.47800000000001</v>
      </c>
      <c r="J45" s="5">
        <v>375.51100000000002</v>
      </c>
      <c r="K45" s="5">
        <v>375.56700000000001</v>
      </c>
      <c r="L45" s="5">
        <v>362.82799999999997</v>
      </c>
      <c r="M45" s="5">
        <v>349.678</v>
      </c>
      <c r="N45" s="5">
        <v>315.166</v>
      </c>
      <c r="O45" s="5">
        <v>312.75400000000002</v>
      </c>
      <c r="P45" s="5">
        <v>416.39499999999998</v>
      </c>
      <c r="Q45" s="5">
        <v>744.53099999999995</v>
      </c>
      <c r="R45" s="5">
        <v>391.82400000000001</v>
      </c>
      <c r="S45" s="5">
        <v>243.06700000000001</v>
      </c>
      <c r="T45" s="5">
        <v>579.25800000000004</v>
      </c>
      <c r="U45" s="5">
        <v>345.47500000000002</v>
      </c>
      <c r="V45" s="5">
        <v>783.09100000000001</v>
      </c>
      <c r="W45" s="5">
        <v>648.15499999999997</v>
      </c>
      <c r="X45" s="5">
        <v>449.31400000000002</v>
      </c>
      <c r="Y45" s="5">
        <v>434.82499999999999</v>
      </c>
      <c r="Z45" s="5">
        <v>341.94400000000002</v>
      </c>
      <c r="AA45" s="5">
        <v>341.06200000000001</v>
      </c>
      <c r="AB45" s="5">
        <v>713.601</v>
      </c>
      <c r="AC45" s="5">
        <v>575.49900000000002</v>
      </c>
      <c r="AD45" s="5">
        <v>489.34</v>
      </c>
      <c r="AE45" s="5">
        <v>613.57600000000002</v>
      </c>
      <c r="AF45" s="5">
        <v>470.43</v>
      </c>
      <c r="AG45" s="5">
        <v>538.31700000000001</v>
      </c>
      <c r="AH45" s="5">
        <v>778.66200000000003</v>
      </c>
      <c r="AI45" s="5">
        <v>574.00099999999998</v>
      </c>
      <c r="AJ45" s="5">
        <v>879.279</v>
      </c>
      <c r="AK45" s="5">
        <v>493.43</v>
      </c>
      <c r="AL45" s="5">
        <v>676.72799999999995</v>
      </c>
      <c r="AM45" s="5">
        <v>208.636</v>
      </c>
      <c r="AN45" s="5">
        <v>261.50799999999998</v>
      </c>
      <c r="AO45" s="5">
        <v>188.649</v>
      </c>
      <c r="AP45" s="5">
        <v>224.21299999999999</v>
      </c>
      <c r="AQ45" s="5">
        <v>371.77100000000002</v>
      </c>
      <c r="AR45" s="5">
        <v>0</v>
      </c>
      <c r="AS45" s="5">
        <v>203.91800000000001</v>
      </c>
      <c r="AT45" s="5">
        <v>157.952</v>
      </c>
      <c r="AU45">
        <v>325.036</v>
      </c>
      <c r="AV45">
        <v>592.36699999999996</v>
      </c>
      <c r="AW45">
        <v>561.03399999999999</v>
      </c>
    </row>
    <row r="46" spans="1:49" x14ac:dyDescent="0.3">
      <c r="A46" s="5" t="s">
        <v>125</v>
      </c>
      <c r="B46" s="5">
        <v>486.63600000000002</v>
      </c>
      <c r="C46" s="5">
        <v>486.51</v>
      </c>
      <c r="D46" s="5">
        <v>489.762</v>
      </c>
      <c r="E46" s="5">
        <v>487.12099999999998</v>
      </c>
      <c r="F46" s="5">
        <v>486.517</v>
      </c>
      <c r="G46" s="5">
        <v>492.16</v>
      </c>
      <c r="H46" s="5">
        <v>490.20100000000002</v>
      </c>
      <c r="I46" s="5">
        <v>484.73599999999999</v>
      </c>
      <c r="J46" s="5">
        <v>519.76900000000001</v>
      </c>
      <c r="K46" s="5">
        <v>519.82500000000005</v>
      </c>
      <c r="L46" s="5">
        <v>507.08600000000001</v>
      </c>
      <c r="M46" s="5">
        <v>148.92500000000001</v>
      </c>
      <c r="N46" s="5">
        <v>569.15899999999999</v>
      </c>
      <c r="O46" s="5">
        <v>514.83699999999999</v>
      </c>
      <c r="P46" s="5">
        <v>560.65300000000002</v>
      </c>
      <c r="Q46" s="5">
        <v>888.78899999999999</v>
      </c>
      <c r="R46" s="5">
        <v>536.08199999999999</v>
      </c>
      <c r="S46" s="5">
        <v>415.27300000000002</v>
      </c>
      <c r="T46" s="5">
        <v>723.51599999999996</v>
      </c>
      <c r="U46" s="5">
        <v>489.733</v>
      </c>
      <c r="V46" s="5">
        <v>927.34900000000005</v>
      </c>
      <c r="W46" s="5">
        <v>792.41300000000001</v>
      </c>
      <c r="X46" s="5">
        <v>647.07600000000002</v>
      </c>
      <c r="Y46" s="5">
        <v>632.58699999999999</v>
      </c>
      <c r="Z46" s="5">
        <v>486.202</v>
      </c>
      <c r="AA46" s="5">
        <v>485.32</v>
      </c>
      <c r="AB46" s="5">
        <v>857.85900000000004</v>
      </c>
      <c r="AC46" s="5">
        <v>777.58199999999999</v>
      </c>
      <c r="AD46" s="5">
        <v>691.423</v>
      </c>
      <c r="AE46" s="5">
        <v>815.65899999999999</v>
      </c>
      <c r="AF46" s="5">
        <v>668.19200000000001</v>
      </c>
      <c r="AG46" s="5">
        <v>740.4</v>
      </c>
      <c r="AH46" s="5">
        <v>980.745</v>
      </c>
      <c r="AI46" s="5">
        <v>776.08399999999995</v>
      </c>
      <c r="AJ46" s="5">
        <v>1023.537</v>
      </c>
      <c r="AK46" s="5">
        <v>627.601</v>
      </c>
      <c r="AL46" s="5">
        <v>820.98599999999999</v>
      </c>
      <c r="AM46" s="5">
        <v>274.07600000000002</v>
      </c>
      <c r="AN46" s="5">
        <v>462.58600000000001</v>
      </c>
      <c r="AO46" s="5">
        <v>386.411</v>
      </c>
      <c r="AP46" s="5">
        <v>396.935</v>
      </c>
      <c r="AQ46" s="5">
        <v>382.81900000000002</v>
      </c>
      <c r="AR46" s="5">
        <v>203.142</v>
      </c>
      <c r="AS46" s="5">
        <v>0</v>
      </c>
      <c r="AT46" s="5">
        <v>328.012</v>
      </c>
      <c r="AU46">
        <v>469.29399999999998</v>
      </c>
      <c r="AV46">
        <v>794.45</v>
      </c>
      <c r="AW46">
        <v>758.79600000000005</v>
      </c>
    </row>
    <row r="47" spans="1:49" ht="15" thickBot="1" x14ac:dyDescent="0.35">
      <c r="A47" s="5" t="s">
        <v>128</v>
      </c>
      <c r="B47" s="5">
        <v>246.05</v>
      </c>
      <c r="C47" s="5">
        <v>245.92400000000001</v>
      </c>
      <c r="D47" s="5">
        <v>249.17599999999999</v>
      </c>
      <c r="E47" s="5">
        <v>246.535</v>
      </c>
      <c r="F47" s="5">
        <v>245.93100000000001</v>
      </c>
      <c r="G47" s="5">
        <v>251.57400000000001</v>
      </c>
      <c r="H47" s="5">
        <v>249.61500000000001</v>
      </c>
      <c r="I47" s="5">
        <v>244.15</v>
      </c>
      <c r="J47" s="5">
        <v>278.66000000000003</v>
      </c>
      <c r="K47" s="5">
        <v>278.71600000000001</v>
      </c>
      <c r="L47" s="5">
        <v>266.5</v>
      </c>
      <c r="M47" s="5">
        <v>473.96600000000001</v>
      </c>
      <c r="N47" s="5">
        <v>116.782</v>
      </c>
      <c r="O47" s="5">
        <v>190.59800000000001</v>
      </c>
      <c r="P47" s="5">
        <v>167.88499999999999</v>
      </c>
      <c r="Q47" s="5">
        <v>593.64200000000005</v>
      </c>
      <c r="R47" s="5">
        <v>264.97800000000001</v>
      </c>
      <c r="S47" s="5">
        <v>77.162000000000006</v>
      </c>
      <c r="T47" s="5">
        <v>352.95699999999999</v>
      </c>
      <c r="U47" s="5">
        <v>226.749</v>
      </c>
      <c r="V47" s="5">
        <v>587.81200000000001</v>
      </c>
      <c r="W47" s="5">
        <v>497.26600000000002</v>
      </c>
      <c r="X47" s="5">
        <v>581.75</v>
      </c>
      <c r="Y47" s="5">
        <v>567.26099999999997</v>
      </c>
      <c r="Z47" s="5">
        <v>245.61600000000001</v>
      </c>
      <c r="AA47" s="5">
        <v>191.07499999999999</v>
      </c>
      <c r="AB47" s="5">
        <v>487.3</v>
      </c>
      <c r="AC47" s="5">
        <v>532.13800000000003</v>
      </c>
      <c r="AD47" s="5">
        <v>445.97899999999998</v>
      </c>
      <c r="AE47" s="5">
        <v>570.21500000000003</v>
      </c>
      <c r="AF47" s="5">
        <v>602.86599999999999</v>
      </c>
      <c r="AG47" s="5">
        <v>494.95600000000002</v>
      </c>
      <c r="AH47" s="5">
        <v>735.30100000000004</v>
      </c>
      <c r="AI47" s="5">
        <v>530.64</v>
      </c>
      <c r="AJ47" s="5">
        <v>723.12</v>
      </c>
      <c r="AK47" s="5">
        <v>397.10199999999998</v>
      </c>
      <c r="AL47" s="5">
        <v>450.42700000000002</v>
      </c>
      <c r="AM47" s="5">
        <v>349.49200000000002</v>
      </c>
      <c r="AN47" s="5">
        <v>179.476</v>
      </c>
      <c r="AO47" s="5">
        <v>237.92699999999999</v>
      </c>
      <c r="AP47" s="5">
        <v>356.649</v>
      </c>
      <c r="AQ47" s="5">
        <v>384.43400000000003</v>
      </c>
      <c r="AR47" s="5">
        <v>157.88900000000001</v>
      </c>
      <c r="AS47" s="5">
        <v>328.20600000000002</v>
      </c>
      <c r="AT47" s="5">
        <v>0</v>
      </c>
      <c r="AU47">
        <v>228.708</v>
      </c>
      <c r="AV47">
        <v>549.00599999999997</v>
      </c>
      <c r="AW47">
        <v>693.47</v>
      </c>
    </row>
    <row r="48" spans="1:49" x14ac:dyDescent="0.3">
      <c r="A48" s="21" t="s">
        <v>1471</v>
      </c>
      <c r="B48">
        <v>21.669</v>
      </c>
      <c r="C48">
        <v>21.542999999999999</v>
      </c>
      <c r="D48">
        <v>24.794</v>
      </c>
      <c r="E48">
        <v>22.154</v>
      </c>
      <c r="F48">
        <v>21.55</v>
      </c>
      <c r="G48">
        <v>27.192</v>
      </c>
      <c r="H48">
        <v>25.233000000000001</v>
      </c>
      <c r="I48">
        <v>19.768999999999998</v>
      </c>
      <c r="J48">
        <v>47.573999999999998</v>
      </c>
      <c r="K48">
        <v>47.63</v>
      </c>
      <c r="L48">
        <v>42.119</v>
      </c>
      <c r="M48">
        <v>518.44500000000005</v>
      </c>
      <c r="N48">
        <v>202.09100000000001</v>
      </c>
      <c r="O48">
        <v>265.70999999999998</v>
      </c>
      <c r="P48">
        <v>193.58500000000001</v>
      </c>
      <c r="Q48">
        <v>435.33</v>
      </c>
      <c r="R48">
        <v>82.623000000000005</v>
      </c>
      <c r="S48">
        <v>233.07900000000001</v>
      </c>
      <c r="T48">
        <v>283.37900000000002</v>
      </c>
      <c r="U48">
        <v>122.66500000000001</v>
      </c>
      <c r="V48">
        <v>473.89</v>
      </c>
      <c r="W48">
        <v>338.95400000000001</v>
      </c>
      <c r="X48">
        <v>772.01900000000001</v>
      </c>
      <c r="Y48">
        <v>757.53</v>
      </c>
      <c r="Z48">
        <v>19.344999999999999</v>
      </c>
      <c r="AA48">
        <v>118.252</v>
      </c>
      <c r="AB48">
        <v>417.72199999999998</v>
      </c>
      <c r="AC48">
        <v>570.524</v>
      </c>
      <c r="AD48">
        <v>572.38099999999997</v>
      </c>
      <c r="AE48">
        <v>703.24199999999996</v>
      </c>
      <c r="AF48">
        <v>790.85599999999999</v>
      </c>
      <c r="AG48">
        <v>535.65599999999995</v>
      </c>
      <c r="AH48">
        <v>773.68700000000001</v>
      </c>
      <c r="AI48">
        <v>657.04200000000003</v>
      </c>
      <c r="AJ48">
        <v>570.07799999999997</v>
      </c>
      <c r="AK48">
        <v>172.721</v>
      </c>
      <c r="AL48">
        <v>380.84899999999999</v>
      </c>
      <c r="AM48">
        <v>531.34100000000001</v>
      </c>
      <c r="AN48">
        <v>400.84199999999998</v>
      </c>
      <c r="AO48">
        <v>511.35399999999998</v>
      </c>
      <c r="AP48">
        <v>546.91800000000001</v>
      </c>
      <c r="AQ48">
        <v>169.15899999999999</v>
      </c>
      <c r="AR48">
        <v>324.76900000000001</v>
      </c>
      <c r="AS48">
        <v>469.16500000000002</v>
      </c>
      <c r="AT48">
        <v>228.87</v>
      </c>
      <c r="AU48">
        <v>0</v>
      </c>
      <c r="AV48">
        <v>587.39200000000005</v>
      </c>
      <c r="AW48">
        <v>883.73900000000003</v>
      </c>
    </row>
    <row r="49" spans="1:49" x14ac:dyDescent="0.3">
      <c r="A49" s="52" t="s">
        <v>1469</v>
      </c>
      <c r="B49">
        <v>604.99099999999999</v>
      </c>
      <c r="C49">
        <v>604.86500000000001</v>
      </c>
      <c r="D49">
        <v>603.05899999999997</v>
      </c>
      <c r="E49">
        <v>603.34900000000005</v>
      </c>
      <c r="F49">
        <v>604.87199999999996</v>
      </c>
      <c r="G49">
        <v>605.45699999999999</v>
      </c>
      <c r="H49">
        <v>603.49800000000005</v>
      </c>
      <c r="I49">
        <v>603.09100000000001</v>
      </c>
      <c r="J49">
        <v>630.89599999999996</v>
      </c>
      <c r="K49">
        <v>630.952</v>
      </c>
      <c r="L49">
        <v>625.44100000000003</v>
      </c>
      <c r="M49">
        <v>941.26800000000003</v>
      </c>
      <c r="N49">
        <v>419.798</v>
      </c>
      <c r="O49">
        <v>355.11200000000002</v>
      </c>
      <c r="P49">
        <v>440.846</v>
      </c>
      <c r="Q49">
        <v>577.11800000000005</v>
      </c>
      <c r="R49">
        <v>563.44000000000005</v>
      </c>
      <c r="S49">
        <v>506.68</v>
      </c>
      <c r="T49">
        <v>414.80500000000001</v>
      </c>
      <c r="U49">
        <v>470.97</v>
      </c>
      <c r="V49">
        <v>524.76499999999999</v>
      </c>
      <c r="W49">
        <v>480.11500000000001</v>
      </c>
      <c r="X49">
        <v>662.654</v>
      </c>
      <c r="Y49">
        <v>648.16499999999996</v>
      </c>
      <c r="Z49">
        <v>604.548</v>
      </c>
      <c r="AA49">
        <v>488.99099999999999</v>
      </c>
      <c r="AB49">
        <v>424.25299999999999</v>
      </c>
      <c r="AC49">
        <v>18.969000000000001</v>
      </c>
      <c r="AD49">
        <v>133.85</v>
      </c>
      <c r="AE49">
        <v>146.27600000000001</v>
      </c>
      <c r="AF49">
        <v>681.49099999999999</v>
      </c>
      <c r="AG49">
        <v>59.508000000000003</v>
      </c>
      <c r="AH49">
        <v>216.721</v>
      </c>
      <c r="AI49">
        <v>243.179</v>
      </c>
      <c r="AJ49">
        <v>660.07299999999998</v>
      </c>
      <c r="AK49">
        <v>750.36300000000006</v>
      </c>
      <c r="AL49">
        <v>378.18099999999998</v>
      </c>
      <c r="AM49">
        <v>689.05799999999999</v>
      </c>
      <c r="AN49">
        <v>412.32499999999999</v>
      </c>
      <c r="AO49">
        <v>544.87300000000005</v>
      </c>
      <c r="AP49">
        <v>664.09</v>
      </c>
      <c r="AQ49">
        <v>754.36199999999997</v>
      </c>
      <c r="AR49">
        <v>592.00900000000001</v>
      </c>
      <c r="AS49">
        <v>795.50800000000004</v>
      </c>
      <c r="AT49">
        <v>549.89400000000001</v>
      </c>
      <c r="AU49">
        <v>588.66</v>
      </c>
      <c r="AV49">
        <v>0</v>
      </c>
      <c r="AW49">
        <v>774.37400000000002</v>
      </c>
    </row>
    <row r="50" spans="1:49" ht="15" thickBot="1" x14ac:dyDescent="0.35">
      <c r="A50" s="26" t="s">
        <v>1470</v>
      </c>
      <c r="B50">
        <v>901.32299999999998</v>
      </c>
      <c r="C50">
        <v>901.197</v>
      </c>
      <c r="D50">
        <v>904.44899999999996</v>
      </c>
      <c r="E50">
        <v>901.80799999999999</v>
      </c>
      <c r="F50">
        <v>901.20399999999995</v>
      </c>
      <c r="G50">
        <v>906.84699999999998</v>
      </c>
      <c r="H50">
        <v>904.88800000000003</v>
      </c>
      <c r="I50">
        <v>899.423</v>
      </c>
      <c r="J50">
        <v>934.45600000000002</v>
      </c>
      <c r="K50">
        <v>934.51199999999994</v>
      </c>
      <c r="L50">
        <v>921.77300000000002</v>
      </c>
      <c r="M50">
        <v>802.89</v>
      </c>
      <c r="N50">
        <v>795.78599999999994</v>
      </c>
      <c r="O50">
        <v>793.37400000000002</v>
      </c>
      <c r="P50">
        <v>846.88900000000001</v>
      </c>
      <c r="Q50">
        <v>1272.646</v>
      </c>
      <c r="R50">
        <v>950.76900000000001</v>
      </c>
      <c r="S50">
        <v>774.20899999999995</v>
      </c>
      <c r="T50">
        <v>1031.961</v>
      </c>
      <c r="U50">
        <v>884.40800000000002</v>
      </c>
      <c r="V50">
        <v>1266.816</v>
      </c>
      <c r="W50">
        <v>1176.27</v>
      </c>
      <c r="X50">
        <v>162.864</v>
      </c>
      <c r="Y50">
        <v>161.35</v>
      </c>
      <c r="Z50">
        <v>900.88900000000001</v>
      </c>
      <c r="AA50">
        <v>892.16</v>
      </c>
      <c r="AB50">
        <v>1166.3040000000001</v>
      </c>
      <c r="AC50">
        <v>763.85500000000002</v>
      </c>
      <c r="AD50">
        <v>737.84299999999996</v>
      </c>
      <c r="AE50">
        <v>642</v>
      </c>
      <c r="AF50">
        <v>152.852</v>
      </c>
      <c r="AG50">
        <v>804.39400000000001</v>
      </c>
      <c r="AH50">
        <v>721.74800000000005</v>
      </c>
      <c r="AI50">
        <v>536.60900000000004</v>
      </c>
      <c r="AJ50">
        <v>1402.124</v>
      </c>
      <c r="AK50">
        <v>1052.375</v>
      </c>
      <c r="AL50">
        <v>1123.067</v>
      </c>
      <c r="AM50">
        <v>526.31799999999998</v>
      </c>
      <c r="AN50">
        <v>594.73900000000003</v>
      </c>
      <c r="AO50">
        <v>458.94299999999998</v>
      </c>
      <c r="AP50">
        <v>417.85300000000001</v>
      </c>
      <c r="AQ50">
        <v>930.71600000000001</v>
      </c>
      <c r="AR50">
        <v>561.64499999999998</v>
      </c>
      <c r="AS50">
        <v>760.28200000000004</v>
      </c>
      <c r="AT50">
        <v>695.755</v>
      </c>
      <c r="AU50">
        <v>883.98099999999999</v>
      </c>
      <c r="AV50">
        <v>774.63199999999995</v>
      </c>
      <c r="AW50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5B18-FCD2-46AE-B8EA-70C3C3B66A82}">
  <sheetPr codeName="Feuil4"/>
  <dimension ref="A1:B12"/>
  <sheetViews>
    <sheetView workbookViewId="0">
      <selection activeCell="B2" sqref="B2:B12"/>
    </sheetView>
  </sheetViews>
  <sheetFormatPr baseColWidth="10" defaultRowHeight="14.4" x14ac:dyDescent="0.3"/>
  <cols>
    <col min="1" max="1" width="33" bestFit="1" customWidth="1"/>
    <col min="2" max="2" width="19.6640625" bestFit="1" customWidth="1"/>
  </cols>
  <sheetData>
    <row r="1" spans="1:2" x14ac:dyDescent="0.3">
      <c r="A1" s="5" t="s">
        <v>169</v>
      </c>
      <c r="B1" s="5" t="s">
        <v>170</v>
      </c>
    </row>
    <row r="2" spans="1:2" x14ac:dyDescent="0.3">
      <c r="A2" t="s">
        <v>1440</v>
      </c>
      <c r="B2" t="s">
        <v>270</v>
      </c>
    </row>
    <row r="3" spans="1:2" x14ac:dyDescent="0.3">
      <c r="A3" t="s">
        <v>1441</v>
      </c>
      <c r="B3" t="s">
        <v>271</v>
      </c>
    </row>
    <row r="4" spans="1:2" x14ac:dyDescent="0.3">
      <c r="A4" t="s">
        <v>1442</v>
      </c>
      <c r="B4" t="s">
        <v>272</v>
      </c>
    </row>
    <row r="5" spans="1:2" x14ac:dyDescent="0.3">
      <c r="A5" t="s">
        <v>1443</v>
      </c>
      <c r="B5" t="s">
        <v>273</v>
      </c>
    </row>
    <row r="6" spans="1:2" x14ac:dyDescent="0.3">
      <c r="A6" s="32" t="s">
        <v>1444</v>
      </c>
      <c r="B6" t="s">
        <v>274</v>
      </c>
    </row>
    <row r="7" spans="1:2" x14ac:dyDescent="0.3">
      <c r="A7" s="32" t="s">
        <v>1445</v>
      </c>
      <c r="B7" t="s">
        <v>275</v>
      </c>
    </row>
    <row r="8" spans="1:2" x14ac:dyDescent="0.3">
      <c r="A8" s="32" t="s">
        <v>1446</v>
      </c>
      <c r="B8" t="s">
        <v>276</v>
      </c>
    </row>
    <row r="9" spans="1:2" x14ac:dyDescent="0.3">
      <c r="A9" s="32" t="s">
        <v>1447</v>
      </c>
      <c r="B9" t="s">
        <v>277</v>
      </c>
    </row>
    <row r="10" spans="1:2" x14ac:dyDescent="0.3">
      <c r="A10" s="32" t="s">
        <v>1448</v>
      </c>
      <c r="B10" t="s">
        <v>281</v>
      </c>
    </row>
    <row r="11" spans="1:2" x14ac:dyDescent="0.3">
      <c r="A11" s="32" t="s">
        <v>1449</v>
      </c>
      <c r="B11" t="s">
        <v>282</v>
      </c>
    </row>
    <row r="12" spans="1:2" x14ac:dyDescent="0.3">
      <c r="A12" s="32" t="s">
        <v>1450</v>
      </c>
      <c r="B12" t="s">
        <v>283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577E7-972A-4F7E-A197-247902A62F5C}">
  <sheetPr codeName="Feuil6"/>
  <dimension ref="A1:ANU47"/>
  <sheetViews>
    <sheetView topLeftCell="H1" zoomScale="55" workbookViewId="0">
      <selection sqref="A1:AJ37"/>
    </sheetView>
  </sheetViews>
  <sheetFormatPr baseColWidth="10" defaultRowHeight="14.4" x14ac:dyDescent="0.3"/>
  <cols>
    <col min="1" max="1" width="41.44140625" customWidth="1"/>
    <col min="2" max="2" width="12.33203125" customWidth="1"/>
    <col min="11" max="11" width="13.21875" customWidth="1"/>
  </cols>
  <sheetData>
    <row r="1" spans="1:1061" x14ac:dyDescent="0.3">
      <c r="A1" s="13" t="s">
        <v>171</v>
      </c>
      <c r="B1" s="14" t="s">
        <v>172</v>
      </c>
      <c r="C1" s="14" t="s">
        <v>173</v>
      </c>
      <c r="D1" s="14" t="s">
        <v>174</v>
      </c>
      <c r="E1" s="14" t="s">
        <v>175</v>
      </c>
      <c r="F1" s="14" t="s">
        <v>176</v>
      </c>
      <c r="G1" s="14" t="s">
        <v>177</v>
      </c>
      <c r="H1" s="14" t="s">
        <v>178</v>
      </c>
      <c r="I1" s="15" t="s">
        <v>179</v>
      </c>
      <c r="J1" s="16" t="s">
        <v>180</v>
      </c>
      <c r="K1" s="16" t="s">
        <v>181</v>
      </c>
      <c r="L1" s="9" t="s">
        <v>182</v>
      </c>
      <c r="M1" s="9" t="s">
        <v>183</v>
      </c>
      <c r="N1" s="9" t="s">
        <v>184</v>
      </c>
      <c r="O1" s="9" t="s">
        <v>185</v>
      </c>
      <c r="P1" s="9" t="s">
        <v>186</v>
      </c>
      <c r="Q1" s="9" t="s">
        <v>187</v>
      </c>
      <c r="R1" s="9" t="s">
        <v>188</v>
      </c>
      <c r="S1" s="9" t="s">
        <v>189</v>
      </c>
      <c r="T1" s="9" t="s">
        <v>190</v>
      </c>
      <c r="U1" s="9" t="s">
        <v>191</v>
      </c>
      <c r="V1" s="9" t="s">
        <v>192</v>
      </c>
      <c r="W1" s="9" t="s">
        <v>193</v>
      </c>
      <c r="X1" s="9" t="s">
        <v>284</v>
      </c>
      <c r="Y1" s="9" t="s">
        <v>285</v>
      </c>
      <c r="Z1" s="9" t="s">
        <v>286</v>
      </c>
      <c r="AA1" s="9" t="s">
        <v>287</v>
      </c>
      <c r="AB1" s="9" t="s">
        <v>288</v>
      </c>
      <c r="AC1" s="9" t="s">
        <v>289</v>
      </c>
      <c r="AD1" s="9" t="s">
        <v>290</v>
      </c>
      <c r="AE1" s="9" t="s">
        <v>291</v>
      </c>
      <c r="AF1" s="9" t="s">
        <v>292</v>
      </c>
      <c r="AG1" s="9" t="s">
        <v>293</v>
      </c>
      <c r="AH1" s="9" t="s">
        <v>294</v>
      </c>
      <c r="AI1" s="9" t="s">
        <v>295</v>
      </c>
      <c r="AJ1" s="9" t="s">
        <v>296</v>
      </c>
      <c r="AK1" s="9" t="s">
        <v>297</v>
      </c>
      <c r="AL1" s="9" t="s">
        <v>298</v>
      </c>
      <c r="AM1" s="9" t="s">
        <v>299</v>
      </c>
      <c r="AN1" s="9" t="s">
        <v>300</v>
      </c>
      <c r="AO1" s="9" t="s">
        <v>301</v>
      </c>
      <c r="AP1" s="9" t="s">
        <v>302</v>
      </c>
      <c r="AQ1" s="9" t="s">
        <v>303</v>
      </c>
      <c r="AR1" s="9" t="s">
        <v>304</v>
      </c>
      <c r="AS1" s="9" t="s">
        <v>305</v>
      </c>
      <c r="AT1" s="9" t="s">
        <v>306</v>
      </c>
      <c r="AU1" s="9" t="s">
        <v>309</v>
      </c>
      <c r="AV1" s="9" t="s">
        <v>310</v>
      </c>
      <c r="AW1" s="9" t="s">
        <v>311</v>
      </c>
      <c r="AX1" s="9" t="s">
        <v>312</v>
      </c>
      <c r="AY1" s="9" t="s">
        <v>313</v>
      </c>
      <c r="AZ1" s="9" t="s">
        <v>314</v>
      </c>
      <c r="BA1" s="9" t="s">
        <v>315</v>
      </c>
      <c r="BB1" s="9" t="s">
        <v>316</v>
      </c>
      <c r="BC1" s="9" t="s">
        <v>317</v>
      </c>
      <c r="BD1" s="9" t="s">
        <v>318</v>
      </c>
      <c r="BE1" s="9" t="s">
        <v>319</v>
      </c>
      <c r="BF1" s="9" t="s">
        <v>320</v>
      </c>
      <c r="BG1" s="9" t="s">
        <v>321</v>
      </c>
      <c r="BH1" s="9" t="s">
        <v>322</v>
      </c>
      <c r="BI1" s="9" t="s">
        <v>323</v>
      </c>
      <c r="BJ1" s="9" t="s">
        <v>324</v>
      </c>
      <c r="BK1" s="9" t="s">
        <v>325</v>
      </c>
      <c r="BL1" s="9" t="s">
        <v>326</v>
      </c>
      <c r="BM1" s="9" t="s">
        <v>327</v>
      </c>
      <c r="BN1" s="9" t="s">
        <v>328</v>
      </c>
      <c r="BO1" s="9" t="s">
        <v>329</v>
      </c>
      <c r="BP1" s="9" t="s">
        <v>330</v>
      </c>
      <c r="BQ1" s="9" t="s">
        <v>331</v>
      </c>
      <c r="BR1" s="9" t="s">
        <v>332</v>
      </c>
      <c r="BS1" s="9" t="s">
        <v>333</v>
      </c>
      <c r="BT1" s="9" t="s">
        <v>334</v>
      </c>
      <c r="BU1" s="9" t="s">
        <v>335</v>
      </c>
      <c r="BV1" s="9" t="s">
        <v>336</v>
      </c>
      <c r="BW1" s="9" t="s">
        <v>337</v>
      </c>
      <c r="BX1" s="9" t="s">
        <v>338</v>
      </c>
      <c r="BY1" s="9" t="s">
        <v>339</v>
      </c>
      <c r="BZ1" s="9" t="s">
        <v>340</v>
      </c>
      <c r="CA1" s="9" t="s">
        <v>341</v>
      </c>
      <c r="CB1" s="9" t="s">
        <v>342</v>
      </c>
      <c r="CC1" s="9" t="s">
        <v>343</v>
      </c>
      <c r="CD1" s="9" t="s">
        <v>344</v>
      </c>
      <c r="CE1" s="9" t="s">
        <v>345</v>
      </c>
      <c r="CF1" s="9" t="s">
        <v>346</v>
      </c>
      <c r="CG1" s="9" t="s">
        <v>347</v>
      </c>
      <c r="CH1" s="9" t="s">
        <v>348</v>
      </c>
      <c r="CI1" s="9" t="s">
        <v>349</v>
      </c>
      <c r="CJ1" s="9" t="s">
        <v>350</v>
      </c>
      <c r="CK1" s="9" t="s">
        <v>351</v>
      </c>
      <c r="CL1" s="9" t="s">
        <v>352</v>
      </c>
      <c r="CM1" s="9" t="s">
        <v>353</v>
      </c>
      <c r="CN1" s="9" t="s">
        <v>354</v>
      </c>
      <c r="CO1" s="9" t="s">
        <v>355</v>
      </c>
      <c r="CP1" s="9" t="s">
        <v>356</v>
      </c>
      <c r="CQ1" s="9" t="s">
        <v>357</v>
      </c>
      <c r="CR1" s="9" t="s">
        <v>358</v>
      </c>
      <c r="CS1" s="9" t="s">
        <v>359</v>
      </c>
      <c r="CT1" s="9" t="s">
        <v>360</v>
      </c>
      <c r="CU1" s="9" t="s">
        <v>361</v>
      </c>
      <c r="CV1" s="9" t="s">
        <v>362</v>
      </c>
      <c r="CW1" s="9" t="s">
        <v>363</v>
      </c>
      <c r="CX1" s="9" t="s">
        <v>364</v>
      </c>
      <c r="CY1" s="9" t="s">
        <v>365</v>
      </c>
      <c r="CZ1" s="9" t="s">
        <v>366</v>
      </c>
      <c r="DA1" s="9" t="s">
        <v>367</v>
      </c>
      <c r="DB1" s="9" t="s">
        <v>368</v>
      </c>
      <c r="DC1" s="9" t="s">
        <v>369</v>
      </c>
      <c r="DD1" s="9" t="s">
        <v>370</v>
      </c>
      <c r="DE1" s="9" t="s">
        <v>371</v>
      </c>
      <c r="DF1" s="9" t="s">
        <v>372</v>
      </c>
      <c r="DG1" s="9" t="s">
        <v>373</v>
      </c>
      <c r="DH1" s="9" t="s">
        <v>374</v>
      </c>
      <c r="DI1" s="9" t="s">
        <v>375</v>
      </c>
      <c r="DJ1" s="9" t="s">
        <v>376</v>
      </c>
      <c r="DK1" s="9" t="s">
        <v>377</v>
      </c>
      <c r="DL1" s="9" t="s">
        <v>378</v>
      </c>
      <c r="DM1" s="9" t="s">
        <v>379</v>
      </c>
      <c r="DN1" s="9" t="s">
        <v>380</v>
      </c>
      <c r="DO1" s="9" t="s">
        <v>381</v>
      </c>
      <c r="DP1" s="9" t="s">
        <v>382</v>
      </c>
      <c r="DQ1" s="9" t="s">
        <v>383</v>
      </c>
      <c r="DR1" s="9" t="s">
        <v>384</v>
      </c>
      <c r="DS1" s="9" t="s">
        <v>385</v>
      </c>
      <c r="DT1" s="9" t="s">
        <v>386</v>
      </c>
      <c r="DU1" s="9" t="s">
        <v>387</v>
      </c>
      <c r="DV1" s="9" t="s">
        <v>388</v>
      </c>
      <c r="DW1" s="9" t="s">
        <v>389</v>
      </c>
      <c r="DX1" s="9" t="s">
        <v>390</v>
      </c>
      <c r="DY1" s="9" t="s">
        <v>391</v>
      </c>
      <c r="DZ1" s="9" t="s">
        <v>392</v>
      </c>
      <c r="EA1" s="9" t="s">
        <v>393</v>
      </c>
      <c r="EB1" s="9" t="s">
        <v>394</v>
      </c>
      <c r="EC1" s="9" t="s">
        <v>395</v>
      </c>
      <c r="ED1" s="9" t="s">
        <v>396</v>
      </c>
      <c r="EE1" s="9" t="s">
        <v>397</v>
      </c>
      <c r="EF1" s="9" t="s">
        <v>398</v>
      </c>
      <c r="EG1" s="9" t="s">
        <v>399</v>
      </c>
      <c r="EH1" s="9" t="s">
        <v>400</v>
      </c>
      <c r="EI1" s="9" t="s">
        <v>401</v>
      </c>
      <c r="EJ1" s="9" t="s">
        <v>402</v>
      </c>
      <c r="EK1" s="9" t="s">
        <v>403</v>
      </c>
      <c r="EL1" s="9" t="s">
        <v>404</v>
      </c>
      <c r="EM1" s="9" t="s">
        <v>405</v>
      </c>
      <c r="EN1" s="9" t="s">
        <v>406</v>
      </c>
      <c r="EO1" s="9" t="s">
        <v>407</v>
      </c>
      <c r="EP1" s="9" t="s">
        <v>408</v>
      </c>
      <c r="EQ1" s="9" t="s">
        <v>409</v>
      </c>
      <c r="ER1" s="9" t="s">
        <v>410</v>
      </c>
      <c r="ES1" s="9" t="s">
        <v>411</v>
      </c>
      <c r="ET1" s="9" t="s">
        <v>412</v>
      </c>
      <c r="EU1" s="9" t="s">
        <v>413</v>
      </c>
      <c r="EV1" s="9" t="s">
        <v>414</v>
      </c>
      <c r="EW1" s="9" t="s">
        <v>415</v>
      </c>
      <c r="EX1" s="9" t="s">
        <v>416</v>
      </c>
      <c r="EY1" s="9" t="s">
        <v>417</v>
      </c>
      <c r="EZ1" s="9" t="s">
        <v>418</v>
      </c>
      <c r="FA1" s="9" t="s">
        <v>419</v>
      </c>
      <c r="FB1" s="9" t="s">
        <v>420</v>
      </c>
      <c r="FC1" s="9" t="s">
        <v>421</v>
      </c>
      <c r="FD1" s="9" t="s">
        <v>422</v>
      </c>
      <c r="FE1" s="9" t="s">
        <v>423</v>
      </c>
      <c r="FF1" s="9" t="s">
        <v>424</v>
      </c>
      <c r="FG1" s="9" t="s">
        <v>425</v>
      </c>
      <c r="FH1" s="9" t="s">
        <v>426</v>
      </c>
      <c r="FI1" s="9" t="s">
        <v>427</v>
      </c>
      <c r="FJ1" s="9" t="s">
        <v>428</v>
      </c>
      <c r="FK1" s="9" t="s">
        <v>429</v>
      </c>
      <c r="FL1" s="9" t="s">
        <v>430</v>
      </c>
      <c r="FM1" s="9" t="s">
        <v>431</v>
      </c>
      <c r="FN1" s="9" t="s">
        <v>432</v>
      </c>
      <c r="FO1" s="9" t="s">
        <v>433</v>
      </c>
      <c r="FP1" s="9" t="s">
        <v>434</v>
      </c>
      <c r="FQ1" s="9" t="s">
        <v>435</v>
      </c>
      <c r="FR1" s="9" t="s">
        <v>436</v>
      </c>
      <c r="FS1" s="9" t="s">
        <v>437</v>
      </c>
      <c r="FT1" s="9" t="s">
        <v>438</v>
      </c>
      <c r="FU1" s="9" t="s">
        <v>439</v>
      </c>
      <c r="FV1" s="9" t="s">
        <v>440</v>
      </c>
      <c r="FW1" s="9" t="s">
        <v>441</v>
      </c>
      <c r="FX1" s="9" t="s">
        <v>442</v>
      </c>
      <c r="FY1" s="9" t="s">
        <v>443</v>
      </c>
      <c r="FZ1" s="9" t="s">
        <v>444</v>
      </c>
      <c r="GA1" s="9" t="s">
        <v>445</v>
      </c>
      <c r="GB1" s="9" t="s">
        <v>446</v>
      </c>
      <c r="GC1" s="9" t="s">
        <v>447</v>
      </c>
      <c r="GD1" s="9" t="s">
        <v>448</v>
      </c>
      <c r="GE1" s="9" t="s">
        <v>449</v>
      </c>
      <c r="GF1" s="9" t="s">
        <v>450</v>
      </c>
      <c r="GG1" s="9" t="s">
        <v>451</v>
      </c>
      <c r="GH1" s="9" t="s">
        <v>452</v>
      </c>
      <c r="GI1" s="9" t="s">
        <v>453</v>
      </c>
      <c r="GJ1" s="9" t="s">
        <v>454</v>
      </c>
      <c r="GK1" s="9" t="s">
        <v>455</v>
      </c>
      <c r="GL1" s="9" t="s">
        <v>456</v>
      </c>
      <c r="GM1" s="9" t="s">
        <v>457</v>
      </c>
      <c r="GN1" s="9" t="s">
        <v>458</v>
      </c>
      <c r="GO1" s="9" t="s">
        <v>459</v>
      </c>
      <c r="GP1" s="9" t="s">
        <v>460</v>
      </c>
      <c r="GQ1" s="9" t="s">
        <v>461</v>
      </c>
      <c r="GR1" s="9" t="s">
        <v>462</v>
      </c>
      <c r="GS1" s="9" t="s">
        <v>463</v>
      </c>
      <c r="GT1" s="9" t="s">
        <v>464</v>
      </c>
      <c r="GU1" s="9" t="s">
        <v>465</v>
      </c>
      <c r="GV1" s="9" t="s">
        <v>466</v>
      </c>
      <c r="GW1" s="9" t="s">
        <v>467</v>
      </c>
      <c r="GX1" s="9" t="s">
        <v>468</v>
      </c>
      <c r="GY1" s="9" t="s">
        <v>469</v>
      </c>
      <c r="GZ1" s="9" t="s">
        <v>470</v>
      </c>
      <c r="HA1" s="9" t="s">
        <v>471</v>
      </c>
      <c r="HB1" s="9" t="s">
        <v>472</v>
      </c>
      <c r="HC1" s="9" t="s">
        <v>473</v>
      </c>
      <c r="HD1" s="9" t="s">
        <v>474</v>
      </c>
      <c r="HE1" s="9" t="s">
        <v>475</v>
      </c>
      <c r="HF1" s="9" t="s">
        <v>476</v>
      </c>
      <c r="HG1" s="9" t="s">
        <v>477</v>
      </c>
      <c r="HH1" s="9" t="s">
        <v>478</v>
      </c>
      <c r="HI1" s="9" t="s">
        <v>479</v>
      </c>
      <c r="HJ1" s="9" t="s">
        <v>480</v>
      </c>
      <c r="HK1" s="9" t="s">
        <v>481</v>
      </c>
      <c r="HL1" s="9" t="s">
        <v>482</v>
      </c>
      <c r="HM1" s="9" t="s">
        <v>483</v>
      </c>
      <c r="HN1" s="9" t="s">
        <v>484</v>
      </c>
      <c r="HO1" s="9" t="s">
        <v>485</v>
      </c>
      <c r="HP1" s="9" t="s">
        <v>486</v>
      </c>
      <c r="HQ1" s="9" t="s">
        <v>487</v>
      </c>
      <c r="HR1" s="9" t="s">
        <v>488</v>
      </c>
      <c r="HS1" s="9" t="s">
        <v>489</v>
      </c>
      <c r="HT1" s="9" t="s">
        <v>490</v>
      </c>
      <c r="HU1" s="9" t="s">
        <v>491</v>
      </c>
      <c r="HV1" s="9" t="s">
        <v>492</v>
      </c>
      <c r="HW1" s="9" t="s">
        <v>493</v>
      </c>
      <c r="HX1" s="9" t="s">
        <v>494</v>
      </c>
      <c r="HY1" s="9" t="s">
        <v>495</v>
      </c>
      <c r="HZ1" s="9" t="s">
        <v>496</v>
      </c>
      <c r="IA1" s="9" t="s">
        <v>497</v>
      </c>
      <c r="IB1" s="9" t="s">
        <v>498</v>
      </c>
      <c r="IC1" s="9" t="s">
        <v>499</v>
      </c>
      <c r="ID1" s="9" t="s">
        <v>500</v>
      </c>
      <c r="IE1" s="9" t="s">
        <v>501</v>
      </c>
      <c r="IF1" s="9" t="s">
        <v>502</v>
      </c>
      <c r="IG1" s="9" t="s">
        <v>503</v>
      </c>
      <c r="IH1" s="9" t="s">
        <v>504</v>
      </c>
      <c r="II1" s="9" t="s">
        <v>505</v>
      </c>
      <c r="IJ1" s="9" t="s">
        <v>506</v>
      </c>
      <c r="IK1" s="9" t="s">
        <v>507</v>
      </c>
      <c r="IL1" s="9" t="s">
        <v>508</v>
      </c>
      <c r="IM1" s="9" t="s">
        <v>509</v>
      </c>
      <c r="IN1" s="9" t="s">
        <v>510</v>
      </c>
      <c r="IO1" s="9" t="s">
        <v>511</v>
      </c>
      <c r="IP1" s="9" t="s">
        <v>512</v>
      </c>
      <c r="IQ1" s="9" t="s">
        <v>513</v>
      </c>
      <c r="IR1" s="9" t="s">
        <v>514</v>
      </c>
      <c r="IS1" s="9" t="s">
        <v>515</v>
      </c>
      <c r="IT1" s="9" t="s">
        <v>516</v>
      </c>
      <c r="IU1" s="9" t="s">
        <v>517</v>
      </c>
      <c r="IV1" s="9" t="s">
        <v>518</v>
      </c>
      <c r="IW1" s="9" t="s">
        <v>519</v>
      </c>
      <c r="IX1" s="9" t="s">
        <v>520</v>
      </c>
      <c r="IY1" s="9" t="s">
        <v>521</v>
      </c>
      <c r="IZ1" s="9" t="s">
        <v>522</v>
      </c>
      <c r="JA1" s="9" t="s">
        <v>523</v>
      </c>
      <c r="JB1" s="9" t="s">
        <v>524</v>
      </c>
      <c r="JC1" s="9" t="s">
        <v>525</v>
      </c>
      <c r="JD1" s="9" t="s">
        <v>526</v>
      </c>
      <c r="JE1" s="9" t="s">
        <v>527</v>
      </c>
      <c r="JF1" s="9" t="s">
        <v>528</v>
      </c>
      <c r="JG1" s="9" t="s">
        <v>529</v>
      </c>
      <c r="JH1" s="9" t="s">
        <v>530</v>
      </c>
      <c r="JI1" s="9" t="s">
        <v>531</v>
      </c>
      <c r="JJ1" s="9" t="s">
        <v>532</v>
      </c>
      <c r="JK1" s="9" t="s">
        <v>533</v>
      </c>
      <c r="JL1" s="9" t="s">
        <v>534</v>
      </c>
      <c r="JM1" s="9" t="s">
        <v>535</v>
      </c>
      <c r="JN1" s="9" t="s">
        <v>536</v>
      </c>
      <c r="JO1" s="9" t="s">
        <v>537</v>
      </c>
      <c r="JP1" s="9" t="s">
        <v>538</v>
      </c>
      <c r="JQ1" s="9" t="s">
        <v>539</v>
      </c>
      <c r="JR1" s="9" t="s">
        <v>540</v>
      </c>
      <c r="JS1" s="9" t="s">
        <v>541</v>
      </c>
      <c r="JT1" s="9" t="s">
        <v>542</v>
      </c>
      <c r="JU1" s="9" t="s">
        <v>543</v>
      </c>
      <c r="JV1" s="9" t="s">
        <v>544</v>
      </c>
      <c r="JW1" s="9" t="s">
        <v>545</v>
      </c>
      <c r="JX1" s="9" t="s">
        <v>546</v>
      </c>
      <c r="JY1" s="9" t="s">
        <v>547</v>
      </c>
      <c r="JZ1" s="9" t="s">
        <v>548</v>
      </c>
      <c r="KA1" s="9" t="s">
        <v>549</v>
      </c>
      <c r="KB1" s="9" t="s">
        <v>550</v>
      </c>
      <c r="KC1" s="9" t="s">
        <v>551</v>
      </c>
      <c r="KD1" s="9" t="s">
        <v>552</v>
      </c>
      <c r="KE1" s="9" t="s">
        <v>553</v>
      </c>
      <c r="KF1" s="9" t="s">
        <v>554</v>
      </c>
      <c r="KG1" s="9" t="s">
        <v>555</v>
      </c>
      <c r="KH1" s="9" t="s">
        <v>556</v>
      </c>
      <c r="KI1" s="9" t="s">
        <v>557</v>
      </c>
      <c r="KJ1" s="9" t="s">
        <v>558</v>
      </c>
      <c r="KK1" s="9" t="s">
        <v>559</v>
      </c>
      <c r="KL1" s="9" t="s">
        <v>560</v>
      </c>
      <c r="KM1" s="9" t="s">
        <v>561</v>
      </c>
      <c r="KN1" s="9" t="s">
        <v>562</v>
      </c>
      <c r="KO1" s="9" t="s">
        <v>563</v>
      </c>
      <c r="KP1" s="9" t="s">
        <v>564</v>
      </c>
      <c r="KQ1" s="9" t="s">
        <v>565</v>
      </c>
      <c r="KR1" s="9" t="s">
        <v>566</v>
      </c>
      <c r="KS1" s="9" t="s">
        <v>567</v>
      </c>
      <c r="KT1" s="9" t="s">
        <v>568</v>
      </c>
      <c r="KU1" s="9" t="s">
        <v>569</v>
      </c>
      <c r="KV1" s="9" t="s">
        <v>570</v>
      </c>
      <c r="KW1" s="9" t="s">
        <v>571</v>
      </c>
      <c r="KX1" s="9" t="s">
        <v>572</v>
      </c>
      <c r="KY1" s="9" t="s">
        <v>573</v>
      </c>
      <c r="KZ1" s="9" t="s">
        <v>574</v>
      </c>
      <c r="LA1" s="9" t="s">
        <v>575</v>
      </c>
      <c r="LB1" s="9" t="s">
        <v>576</v>
      </c>
      <c r="LC1" s="9" t="s">
        <v>577</v>
      </c>
      <c r="LD1" s="9" t="s">
        <v>578</v>
      </c>
      <c r="LE1" s="9" t="s">
        <v>579</v>
      </c>
      <c r="LF1" s="9" t="s">
        <v>580</v>
      </c>
      <c r="LG1" s="9" t="s">
        <v>581</v>
      </c>
      <c r="LH1" s="9" t="s">
        <v>582</v>
      </c>
      <c r="LI1" s="9" t="s">
        <v>583</v>
      </c>
      <c r="LJ1" s="9" t="s">
        <v>584</v>
      </c>
      <c r="LK1" s="9" t="s">
        <v>585</v>
      </c>
      <c r="LL1" s="9" t="s">
        <v>586</v>
      </c>
      <c r="LM1" s="9" t="s">
        <v>587</v>
      </c>
      <c r="LN1" s="9" t="s">
        <v>588</v>
      </c>
      <c r="LO1" s="9" t="s">
        <v>589</v>
      </c>
      <c r="LP1" s="9" t="s">
        <v>590</v>
      </c>
      <c r="LQ1" s="9" t="s">
        <v>591</v>
      </c>
      <c r="LR1" s="9" t="s">
        <v>592</v>
      </c>
      <c r="LS1" s="9" t="s">
        <v>593</v>
      </c>
      <c r="LT1" s="9" t="s">
        <v>594</v>
      </c>
      <c r="LU1" s="9" t="s">
        <v>595</v>
      </c>
      <c r="LV1" s="9" t="s">
        <v>596</v>
      </c>
      <c r="LW1" s="9" t="s">
        <v>597</v>
      </c>
      <c r="LX1" s="9" t="s">
        <v>598</v>
      </c>
      <c r="LY1" s="9" t="s">
        <v>599</v>
      </c>
      <c r="LZ1" s="9" t="s">
        <v>600</v>
      </c>
      <c r="MA1" s="9" t="s">
        <v>601</v>
      </c>
      <c r="MB1" s="9" t="s">
        <v>602</v>
      </c>
      <c r="MC1" s="9" t="s">
        <v>603</v>
      </c>
      <c r="MD1" s="9" t="s">
        <v>604</v>
      </c>
      <c r="ME1" s="9" t="s">
        <v>605</v>
      </c>
      <c r="MF1" s="9" t="s">
        <v>606</v>
      </c>
      <c r="MG1" s="9" t="s">
        <v>607</v>
      </c>
      <c r="MH1" s="9" t="s">
        <v>608</v>
      </c>
      <c r="MI1" s="9" t="s">
        <v>609</v>
      </c>
      <c r="MJ1" s="9" t="s">
        <v>610</v>
      </c>
      <c r="MK1" s="9" t="s">
        <v>611</v>
      </c>
      <c r="ML1" s="9" t="s">
        <v>612</v>
      </c>
      <c r="MM1" s="9" t="s">
        <v>613</v>
      </c>
      <c r="MN1" s="9" t="s">
        <v>614</v>
      </c>
      <c r="MO1" s="9" t="s">
        <v>615</v>
      </c>
      <c r="MP1" s="9" t="s">
        <v>616</v>
      </c>
      <c r="MQ1" s="9" t="s">
        <v>617</v>
      </c>
      <c r="MR1" s="9" t="s">
        <v>618</v>
      </c>
      <c r="MS1" s="9" t="s">
        <v>619</v>
      </c>
      <c r="MT1" s="9" t="s">
        <v>620</v>
      </c>
      <c r="MU1" s="9" t="s">
        <v>621</v>
      </c>
      <c r="MV1" s="9" t="s">
        <v>622</v>
      </c>
      <c r="MW1" s="9" t="s">
        <v>623</v>
      </c>
      <c r="MX1" s="9" t="s">
        <v>624</v>
      </c>
      <c r="MY1" s="9" t="s">
        <v>625</v>
      </c>
      <c r="MZ1" s="9" t="s">
        <v>626</v>
      </c>
      <c r="NA1" s="9" t="s">
        <v>627</v>
      </c>
      <c r="NB1" s="9" t="s">
        <v>628</v>
      </c>
      <c r="NC1" s="9" t="s">
        <v>629</v>
      </c>
      <c r="ND1" s="9" t="s">
        <v>630</v>
      </c>
      <c r="NE1" s="9" t="s">
        <v>631</v>
      </c>
      <c r="NF1" s="9" t="s">
        <v>632</v>
      </c>
      <c r="NG1" s="9" t="s">
        <v>633</v>
      </c>
      <c r="NH1" s="9" t="s">
        <v>634</v>
      </c>
      <c r="NI1" s="9" t="s">
        <v>635</v>
      </c>
      <c r="NJ1" s="9" t="s">
        <v>636</v>
      </c>
      <c r="NK1" s="9" t="s">
        <v>637</v>
      </c>
      <c r="NL1" s="9" t="s">
        <v>638</v>
      </c>
      <c r="NM1" s="9" t="s">
        <v>639</v>
      </c>
      <c r="NN1" s="9" t="s">
        <v>640</v>
      </c>
      <c r="NO1" s="9" t="s">
        <v>641</v>
      </c>
      <c r="NP1" s="9" t="s">
        <v>642</v>
      </c>
      <c r="NQ1" s="9" t="s">
        <v>643</v>
      </c>
      <c r="NR1" s="9" t="s">
        <v>644</v>
      </c>
      <c r="NS1" s="9" t="s">
        <v>645</v>
      </c>
      <c r="NT1" s="9" t="s">
        <v>646</v>
      </c>
      <c r="NU1" s="9" t="s">
        <v>647</v>
      </c>
      <c r="NV1" s="9" t="s">
        <v>648</v>
      </c>
      <c r="NW1" s="9" t="s">
        <v>649</v>
      </c>
      <c r="NX1" s="9" t="s">
        <v>650</v>
      </c>
      <c r="NY1" s="9" t="s">
        <v>651</v>
      </c>
      <c r="NZ1" s="9" t="s">
        <v>652</v>
      </c>
      <c r="OA1" s="9" t="s">
        <v>653</v>
      </c>
      <c r="OB1" s="9" t="s">
        <v>654</v>
      </c>
      <c r="OC1" s="9" t="s">
        <v>655</v>
      </c>
      <c r="OD1" s="9" t="s">
        <v>656</v>
      </c>
      <c r="OE1" s="9" t="s">
        <v>657</v>
      </c>
      <c r="OF1" s="9" t="s">
        <v>658</v>
      </c>
      <c r="OG1" s="9" t="s">
        <v>659</v>
      </c>
      <c r="OH1" s="9" t="s">
        <v>660</v>
      </c>
      <c r="OI1" s="9" t="s">
        <v>661</v>
      </c>
      <c r="OJ1" s="9" t="s">
        <v>662</v>
      </c>
      <c r="OK1" s="9" t="s">
        <v>663</v>
      </c>
      <c r="OL1" s="9" t="s">
        <v>664</v>
      </c>
      <c r="OM1" s="9" t="s">
        <v>665</v>
      </c>
      <c r="ON1" s="9" t="s">
        <v>666</v>
      </c>
      <c r="OO1" s="9" t="s">
        <v>667</v>
      </c>
      <c r="OP1" s="9" t="s">
        <v>668</v>
      </c>
      <c r="OQ1" s="9" t="s">
        <v>669</v>
      </c>
      <c r="OR1" s="9" t="s">
        <v>670</v>
      </c>
      <c r="OS1" s="9" t="s">
        <v>671</v>
      </c>
      <c r="OT1" s="9" t="s">
        <v>672</v>
      </c>
      <c r="OU1" s="9" t="s">
        <v>673</v>
      </c>
      <c r="OV1" s="9" t="s">
        <v>674</v>
      </c>
      <c r="OW1" s="9" t="s">
        <v>675</v>
      </c>
      <c r="OX1" s="9" t="s">
        <v>676</v>
      </c>
      <c r="OY1" s="9" t="s">
        <v>677</v>
      </c>
      <c r="OZ1" s="9" t="s">
        <v>678</v>
      </c>
      <c r="PA1" s="9" t="s">
        <v>679</v>
      </c>
      <c r="PB1" s="9" t="s">
        <v>680</v>
      </c>
      <c r="PC1" s="9" t="s">
        <v>681</v>
      </c>
      <c r="PD1" s="9" t="s">
        <v>682</v>
      </c>
      <c r="PE1" s="9" t="s">
        <v>683</v>
      </c>
      <c r="PF1" s="9" t="s">
        <v>684</v>
      </c>
      <c r="PG1" s="9" t="s">
        <v>685</v>
      </c>
      <c r="PH1" s="9" t="s">
        <v>686</v>
      </c>
      <c r="PI1" s="9" t="s">
        <v>687</v>
      </c>
      <c r="PJ1" s="9" t="s">
        <v>688</v>
      </c>
      <c r="PK1" s="9" t="s">
        <v>689</v>
      </c>
      <c r="PL1" s="9" t="s">
        <v>690</v>
      </c>
      <c r="PM1" s="9" t="s">
        <v>691</v>
      </c>
      <c r="PN1" s="9" t="s">
        <v>692</v>
      </c>
      <c r="PO1" s="9" t="s">
        <v>693</v>
      </c>
      <c r="PP1" s="9" t="s">
        <v>694</v>
      </c>
      <c r="PQ1" s="9" t="s">
        <v>695</v>
      </c>
      <c r="PR1" s="9" t="s">
        <v>696</v>
      </c>
      <c r="PS1" s="9" t="s">
        <v>697</v>
      </c>
      <c r="PT1" s="9" t="s">
        <v>698</v>
      </c>
      <c r="PU1" s="9" t="s">
        <v>699</v>
      </c>
      <c r="PV1" s="9" t="s">
        <v>700</v>
      </c>
      <c r="PW1" s="9" t="s">
        <v>701</v>
      </c>
      <c r="PX1" s="9" t="s">
        <v>702</v>
      </c>
      <c r="PY1" s="9" t="s">
        <v>703</v>
      </c>
      <c r="PZ1" s="9" t="s">
        <v>704</v>
      </c>
      <c r="QA1" s="9" t="s">
        <v>705</v>
      </c>
      <c r="QB1" s="9" t="s">
        <v>706</v>
      </c>
      <c r="QC1" s="9" t="s">
        <v>707</v>
      </c>
      <c r="QD1" s="9" t="s">
        <v>708</v>
      </c>
      <c r="QE1" s="9" t="s">
        <v>709</v>
      </c>
      <c r="QF1" s="9" t="s">
        <v>710</v>
      </c>
      <c r="QG1" s="9" t="s">
        <v>711</v>
      </c>
      <c r="QH1" s="9" t="s">
        <v>712</v>
      </c>
      <c r="QI1" s="9" t="s">
        <v>713</v>
      </c>
      <c r="QJ1" s="9" t="s">
        <v>714</v>
      </c>
      <c r="QK1" s="9" t="s">
        <v>715</v>
      </c>
      <c r="QL1" s="9" t="s">
        <v>716</v>
      </c>
      <c r="QM1" s="9" t="s">
        <v>717</v>
      </c>
      <c r="QN1" s="9" t="s">
        <v>718</v>
      </c>
      <c r="QO1" s="9" t="s">
        <v>719</v>
      </c>
      <c r="QP1" s="9" t="s">
        <v>720</v>
      </c>
      <c r="QQ1" s="9" t="s">
        <v>721</v>
      </c>
      <c r="QR1" s="9" t="s">
        <v>722</v>
      </c>
      <c r="QS1" s="9" t="s">
        <v>723</v>
      </c>
      <c r="QT1" s="9" t="s">
        <v>724</v>
      </c>
      <c r="QU1" s="9" t="s">
        <v>725</v>
      </c>
      <c r="QV1" s="9" t="s">
        <v>726</v>
      </c>
      <c r="QW1" s="9" t="s">
        <v>727</v>
      </c>
      <c r="QX1" s="9" t="s">
        <v>728</v>
      </c>
      <c r="QY1" s="9" t="s">
        <v>729</v>
      </c>
      <c r="QZ1" s="9" t="s">
        <v>730</v>
      </c>
      <c r="RA1" s="9" t="s">
        <v>731</v>
      </c>
      <c r="RB1" s="9" t="s">
        <v>732</v>
      </c>
      <c r="RC1" s="9" t="s">
        <v>733</v>
      </c>
      <c r="RD1" s="9" t="s">
        <v>734</v>
      </c>
      <c r="RE1" s="9" t="s">
        <v>735</v>
      </c>
      <c r="RF1" s="9" t="s">
        <v>736</v>
      </c>
      <c r="RG1" s="9" t="s">
        <v>737</v>
      </c>
      <c r="RH1" s="9" t="s">
        <v>738</v>
      </c>
      <c r="RI1" s="9" t="s">
        <v>739</v>
      </c>
      <c r="RJ1" s="9" t="s">
        <v>740</v>
      </c>
      <c r="RK1" s="9" t="s">
        <v>741</v>
      </c>
      <c r="RL1" s="9" t="s">
        <v>742</v>
      </c>
      <c r="RM1" s="9" t="s">
        <v>743</v>
      </c>
      <c r="RN1" s="9" t="s">
        <v>744</v>
      </c>
      <c r="RO1" s="9" t="s">
        <v>745</v>
      </c>
      <c r="RP1" s="9" t="s">
        <v>746</v>
      </c>
      <c r="RQ1" s="9" t="s">
        <v>747</v>
      </c>
      <c r="RR1" s="9" t="s">
        <v>748</v>
      </c>
      <c r="RS1" s="9" t="s">
        <v>749</v>
      </c>
      <c r="RT1" s="9" t="s">
        <v>750</v>
      </c>
      <c r="RU1" s="9" t="s">
        <v>751</v>
      </c>
      <c r="RV1" s="9" t="s">
        <v>752</v>
      </c>
      <c r="RW1" s="9" t="s">
        <v>753</v>
      </c>
      <c r="RX1" s="9" t="s">
        <v>754</v>
      </c>
      <c r="RY1" s="9" t="s">
        <v>755</v>
      </c>
      <c r="RZ1" s="9" t="s">
        <v>756</v>
      </c>
      <c r="SA1" s="9" t="s">
        <v>757</v>
      </c>
      <c r="SB1" s="9" t="s">
        <v>758</v>
      </c>
      <c r="SC1" s="9" t="s">
        <v>759</v>
      </c>
      <c r="SD1" s="9" t="s">
        <v>760</v>
      </c>
      <c r="SE1" s="9" t="s">
        <v>761</v>
      </c>
      <c r="SF1" s="9" t="s">
        <v>762</v>
      </c>
      <c r="SG1" s="9" t="s">
        <v>763</v>
      </c>
      <c r="SH1" s="9" t="s">
        <v>764</v>
      </c>
      <c r="SI1" s="9" t="s">
        <v>765</v>
      </c>
      <c r="SJ1" s="9" t="s">
        <v>766</v>
      </c>
      <c r="SK1" s="9" t="s">
        <v>767</v>
      </c>
      <c r="SL1" s="9" t="s">
        <v>768</v>
      </c>
      <c r="SM1" s="9" t="s">
        <v>769</v>
      </c>
      <c r="SN1" s="9" t="s">
        <v>770</v>
      </c>
      <c r="SO1" s="9" t="s">
        <v>771</v>
      </c>
      <c r="SP1" s="9" t="s">
        <v>772</v>
      </c>
      <c r="SQ1" s="9" t="s">
        <v>773</v>
      </c>
      <c r="SR1" s="9" t="s">
        <v>774</v>
      </c>
      <c r="SS1" s="9" t="s">
        <v>775</v>
      </c>
      <c r="ST1" s="9" t="s">
        <v>776</v>
      </c>
      <c r="SU1" s="9" t="s">
        <v>777</v>
      </c>
      <c r="SV1" s="9" t="s">
        <v>778</v>
      </c>
      <c r="SW1" s="9" t="s">
        <v>779</v>
      </c>
      <c r="SX1" s="9" t="s">
        <v>780</v>
      </c>
      <c r="SY1" s="9" t="s">
        <v>781</v>
      </c>
      <c r="SZ1" s="9" t="s">
        <v>782</v>
      </c>
      <c r="TA1" s="9" t="s">
        <v>783</v>
      </c>
      <c r="TB1" s="9" t="s">
        <v>784</v>
      </c>
      <c r="TC1" s="9" t="s">
        <v>785</v>
      </c>
      <c r="TD1" s="9" t="s">
        <v>786</v>
      </c>
      <c r="TE1" s="9" t="s">
        <v>787</v>
      </c>
      <c r="TF1" s="9" t="s">
        <v>788</v>
      </c>
      <c r="TG1" s="9" t="s">
        <v>789</v>
      </c>
      <c r="TH1" s="9" t="s">
        <v>790</v>
      </c>
      <c r="TI1" s="9" t="s">
        <v>791</v>
      </c>
      <c r="TJ1" s="9" t="s">
        <v>792</v>
      </c>
      <c r="TK1" s="9" t="s">
        <v>793</v>
      </c>
      <c r="TL1" s="9" t="s">
        <v>794</v>
      </c>
      <c r="TM1" s="9" t="s">
        <v>795</v>
      </c>
      <c r="TN1" s="9" t="s">
        <v>796</v>
      </c>
      <c r="TO1" s="9" t="s">
        <v>797</v>
      </c>
      <c r="TP1" s="9" t="s">
        <v>798</v>
      </c>
      <c r="TQ1" s="9" t="s">
        <v>799</v>
      </c>
      <c r="TR1" s="9" t="s">
        <v>800</v>
      </c>
      <c r="TS1" s="9" t="s">
        <v>801</v>
      </c>
      <c r="TT1" s="9" t="s">
        <v>802</v>
      </c>
      <c r="TU1" s="9" t="s">
        <v>803</v>
      </c>
      <c r="TV1" s="9" t="s">
        <v>804</v>
      </c>
      <c r="TW1" s="9" t="s">
        <v>805</v>
      </c>
      <c r="TX1" s="9" t="s">
        <v>806</v>
      </c>
      <c r="TY1" s="9" t="s">
        <v>807</v>
      </c>
      <c r="TZ1" s="9" t="s">
        <v>808</v>
      </c>
      <c r="UA1" s="9" t="s">
        <v>809</v>
      </c>
      <c r="UB1" s="9" t="s">
        <v>810</v>
      </c>
      <c r="UC1" s="9" t="s">
        <v>811</v>
      </c>
      <c r="UD1" s="9" t="s">
        <v>812</v>
      </c>
      <c r="UE1" s="9" t="s">
        <v>813</v>
      </c>
      <c r="UF1" s="9" t="s">
        <v>814</v>
      </c>
      <c r="UG1" s="9" t="s">
        <v>815</v>
      </c>
      <c r="UH1" s="9" t="s">
        <v>816</v>
      </c>
      <c r="UI1" s="9" t="s">
        <v>817</v>
      </c>
      <c r="UJ1" s="9" t="s">
        <v>818</v>
      </c>
      <c r="UK1" s="9" t="s">
        <v>199</v>
      </c>
      <c r="UL1" s="9" t="s">
        <v>819</v>
      </c>
      <c r="UM1" s="9" t="s">
        <v>820</v>
      </c>
      <c r="UN1" s="9" t="s">
        <v>821</v>
      </c>
      <c r="UO1" s="9" t="s">
        <v>822</v>
      </c>
      <c r="UP1" s="9" t="s">
        <v>823</v>
      </c>
      <c r="UQ1" s="9" t="s">
        <v>824</v>
      </c>
      <c r="UR1" s="9" t="s">
        <v>825</v>
      </c>
      <c r="US1" s="9" t="s">
        <v>826</v>
      </c>
      <c r="UT1" s="9" t="s">
        <v>827</v>
      </c>
      <c r="UU1" s="9" t="s">
        <v>828</v>
      </c>
      <c r="UV1" s="9" t="s">
        <v>829</v>
      </c>
      <c r="UW1" s="9" t="s">
        <v>830</v>
      </c>
      <c r="UX1" s="9" t="s">
        <v>831</v>
      </c>
      <c r="UY1" s="9" t="s">
        <v>832</v>
      </c>
      <c r="UZ1" s="9" t="s">
        <v>833</v>
      </c>
      <c r="VA1" s="9" t="s">
        <v>834</v>
      </c>
      <c r="VB1" s="9" t="s">
        <v>835</v>
      </c>
      <c r="VC1" s="9" t="s">
        <v>836</v>
      </c>
      <c r="VD1" s="9" t="s">
        <v>837</v>
      </c>
      <c r="VE1" s="9" t="s">
        <v>838</v>
      </c>
      <c r="VF1" s="9" t="s">
        <v>839</v>
      </c>
      <c r="VG1" s="9" t="s">
        <v>840</v>
      </c>
      <c r="VH1" s="9" t="s">
        <v>841</v>
      </c>
      <c r="VI1" s="9" t="s">
        <v>842</v>
      </c>
      <c r="VJ1" s="9" t="s">
        <v>843</v>
      </c>
      <c r="VK1" s="9" t="s">
        <v>844</v>
      </c>
      <c r="VL1" s="9" t="s">
        <v>845</v>
      </c>
      <c r="VM1" s="9" t="s">
        <v>846</v>
      </c>
      <c r="VN1" s="9" t="s">
        <v>847</v>
      </c>
      <c r="VO1" s="9" t="s">
        <v>848</v>
      </c>
      <c r="VP1" s="9" t="s">
        <v>849</v>
      </c>
      <c r="VQ1" s="9" t="s">
        <v>850</v>
      </c>
      <c r="VR1" s="9" t="s">
        <v>851</v>
      </c>
      <c r="VS1" s="9" t="s">
        <v>852</v>
      </c>
      <c r="VT1" s="9" t="s">
        <v>853</v>
      </c>
      <c r="VU1" s="9" t="s">
        <v>854</v>
      </c>
      <c r="VV1" s="9" t="s">
        <v>855</v>
      </c>
      <c r="VW1" s="9" t="s">
        <v>856</v>
      </c>
      <c r="VX1" s="9" t="s">
        <v>857</v>
      </c>
      <c r="VY1" s="9" t="s">
        <v>858</v>
      </c>
      <c r="VZ1" s="9" t="s">
        <v>859</v>
      </c>
      <c r="WA1" s="9" t="s">
        <v>860</v>
      </c>
      <c r="WB1" s="9" t="s">
        <v>861</v>
      </c>
      <c r="WC1" s="9" t="s">
        <v>862</v>
      </c>
      <c r="WD1" s="9" t="s">
        <v>863</v>
      </c>
      <c r="WE1" s="9" t="s">
        <v>864</v>
      </c>
      <c r="WF1" s="9" t="s">
        <v>865</v>
      </c>
      <c r="WG1" s="9" t="s">
        <v>866</v>
      </c>
      <c r="WH1" s="9" t="s">
        <v>867</v>
      </c>
      <c r="WI1" s="9" t="s">
        <v>868</v>
      </c>
      <c r="WJ1" s="9" t="s">
        <v>869</v>
      </c>
      <c r="WK1" s="9" t="s">
        <v>870</v>
      </c>
      <c r="WL1" s="9" t="s">
        <v>871</v>
      </c>
      <c r="WM1" s="9" t="s">
        <v>872</v>
      </c>
      <c r="WN1" s="9" t="s">
        <v>873</v>
      </c>
      <c r="WO1" s="9" t="s">
        <v>874</v>
      </c>
      <c r="WP1" s="9" t="s">
        <v>875</v>
      </c>
      <c r="WQ1" s="9" t="s">
        <v>876</v>
      </c>
      <c r="WR1" s="9" t="s">
        <v>877</v>
      </c>
      <c r="WS1" s="9" t="s">
        <v>878</v>
      </c>
      <c r="WT1" s="9" t="s">
        <v>879</v>
      </c>
      <c r="WU1" s="9" t="s">
        <v>880</v>
      </c>
      <c r="WV1" s="9" t="s">
        <v>881</v>
      </c>
      <c r="WW1" s="9" t="s">
        <v>882</v>
      </c>
      <c r="WX1" s="9" t="s">
        <v>883</v>
      </c>
      <c r="WY1" s="9" t="s">
        <v>884</v>
      </c>
      <c r="WZ1" s="9" t="s">
        <v>885</v>
      </c>
      <c r="XA1" s="9" t="s">
        <v>886</v>
      </c>
      <c r="XB1" s="9" t="s">
        <v>887</v>
      </c>
      <c r="XC1" s="9" t="s">
        <v>888</v>
      </c>
      <c r="XD1" s="9" t="s">
        <v>889</v>
      </c>
      <c r="XE1" s="9" t="s">
        <v>890</v>
      </c>
      <c r="XF1" s="9" t="s">
        <v>891</v>
      </c>
      <c r="XG1" s="9" t="s">
        <v>892</v>
      </c>
      <c r="XH1" s="9" t="s">
        <v>893</v>
      </c>
      <c r="XI1" s="9" t="s">
        <v>894</v>
      </c>
      <c r="XJ1" s="9" t="s">
        <v>895</v>
      </c>
      <c r="XK1" s="9" t="s">
        <v>896</v>
      </c>
      <c r="XL1" s="9" t="s">
        <v>897</v>
      </c>
      <c r="XM1" s="9" t="s">
        <v>898</v>
      </c>
      <c r="XN1" s="9" t="s">
        <v>899</v>
      </c>
      <c r="XO1" s="9" t="s">
        <v>900</v>
      </c>
      <c r="XP1" s="9" t="s">
        <v>901</v>
      </c>
      <c r="XQ1" s="9" t="s">
        <v>902</v>
      </c>
      <c r="XR1" s="9" t="s">
        <v>903</v>
      </c>
      <c r="XS1" s="9" t="s">
        <v>904</v>
      </c>
      <c r="XT1" s="9" t="s">
        <v>905</v>
      </c>
      <c r="XU1" s="9" t="s">
        <v>906</v>
      </c>
      <c r="XV1" s="9" t="s">
        <v>907</v>
      </c>
      <c r="XW1" s="9" t="s">
        <v>908</v>
      </c>
      <c r="XX1" s="9" t="s">
        <v>909</v>
      </c>
      <c r="XY1" s="9" t="s">
        <v>910</v>
      </c>
      <c r="XZ1" s="9" t="s">
        <v>911</v>
      </c>
      <c r="YA1" s="9" t="s">
        <v>912</v>
      </c>
      <c r="YB1" s="9" t="s">
        <v>913</v>
      </c>
      <c r="YC1" s="9" t="s">
        <v>914</v>
      </c>
      <c r="YD1" s="9" t="s">
        <v>915</v>
      </c>
      <c r="YE1" s="9" t="s">
        <v>916</v>
      </c>
      <c r="YF1" s="9" t="s">
        <v>917</v>
      </c>
      <c r="YG1" s="9" t="s">
        <v>918</v>
      </c>
      <c r="YH1" s="9" t="s">
        <v>919</v>
      </c>
      <c r="YI1" s="9" t="s">
        <v>920</v>
      </c>
      <c r="YJ1" s="9" t="s">
        <v>921</v>
      </c>
      <c r="YK1" s="9" t="s">
        <v>922</v>
      </c>
      <c r="YL1" s="9" t="s">
        <v>923</v>
      </c>
      <c r="YM1" s="9" t="s">
        <v>924</v>
      </c>
      <c r="YN1" s="9" t="s">
        <v>925</v>
      </c>
      <c r="YO1" s="9" t="s">
        <v>926</v>
      </c>
      <c r="YP1" s="9" t="s">
        <v>927</v>
      </c>
      <c r="YQ1" s="9" t="s">
        <v>928</v>
      </c>
      <c r="YR1" s="9" t="s">
        <v>929</v>
      </c>
      <c r="YS1" s="9" t="s">
        <v>930</v>
      </c>
      <c r="YT1" s="9" t="s">
        <v>931</v>
      </c>
      <c r="YU1" s="9" t="s">
        <v>932</v>
      </c>
      <c r="YV1" s="9" t="s">
        <v>933</v>
      </c>
      <c r="YW1" s="9" t="s">
        <v>934</v>
      </c>
      <c r="YX1" s="9" t="s">
        <v>935</v>
      </c>
      <c r="YY1" s="9" t="s">
        <v>936</v>
      </c>
      <c r="YZ1" s="9" t="s">
        <v>937</v>
      </c>
      <c r="ZA1" s="9" t="s">
        <v>938</v>
      </c>
      <c r="ZB1" s="9" t="s">
        <v>939</v>
      </c>
      <c r="ZC1" s="9" t="s">
        <v>940</v>
      </c>
      <c r="ZD1" s="9" t="s">
        <v>941</v>
      </c>
      <c r="ZE1" s="9" t="s">
        <v>942</v>
      </c>
      <c r="ZF1" s="9" t="s">
        <v>943</v>
      </c>
      <c r="ZG1" s="9" t="s">
        <v>944</v>
      </c>
      <c r="ZH1" s="9" t="s">
        <v>945</v>
      </c>
      <c r="ZI1" s="9" t="s">
        <v>946</v>
      </c>
      <c r="ZJ1" s="9" t="s">
        <v>947</v>
      </c>
      <c r="ZK1" s="9" t="s">
        <v>948</v>
      </c>
      <c r="ZL1" s="9" t="s">
        <v>949</v>
      </c>
      <c r="ZM1" s="9" t="s">
        <v>950</v>
      </c>
      <c r="ZN1" s="9" t="s">
        <v>951</v>
      </c>
      <c r="ZO1" s="9" t="s">
        <v>952</v>
      </c>
      <c r="ZP1" s="9" t="s">
        <v>953</v>
      </c>
      <c r="ZQ1" s="9" t="s">
        <v>954</v>
      </c>
      <c r="ZR1" s="9" t="s">
        <v>955</v>
      </c>
      <c r="ZS1" s="9" t="s">
        <v>956</v>
      </c>
      <c r="ZT1" s="9" t="s">
        <v>957</v>
      </c>
      <c r="ZU1" s="9" t="s">
        <v>958</v>
      </c>
      <c r="ZV1" s="9" t="s">
        <v>959</v>
      </c>
      <c r="ZW1" s="9" t="s">
        <v>960</v>
      </c>
      <c r="ZX1" s="9" t="s">
        <v>961</v>
      </c>
      <c r="ZY1" s="9" t="s">
        <v>962</v>
      </c>
      <c r="ZZ1" s="9" t="s">
        <v>963</v>
      </c>
      <c r="AAA1" s="9" t="s">
        <v>964</v>
      </c>
      <c r="AAB1" s="9" t="s">
        <v>965</v>
      </c>
      <c r="AAC1" s="9" t="s">
        <v>966</v>
      </c>
      <c r="AAD1" s="9" t="s">
        <v>967</v>
      </c>
      <c r="AAE1" s="9" t="s">
        <v>968</v>
      </c>
      <c r="AAF1" s="9" t="s">
        <v>969</v>
      </c>
      <c r="AAG1" s="9" t="s">
        <v>970</v>
      </c>
      <c r="AAH1" s="9" t="s">
        <v>971</v>
      </c>
      <c r="AAI1" s="9" t="s">
        <v>972</v>
      </c>
      <c r="AAJ1" s="9" t="s">
        <v>973</v>
      </c>
      <c r="AAK1" s="9" t="s">
        <v>974</v>
      </c>
      <c r="AAL1" s="9" t="s">
        <v>975</v>
      </c>
      <c r="AAM1" s="9" t="s">
        <v>976</v>
      </c>
      <c r="AAN1" s="9" t="s">
        <v>977</v>
      </c>
      <c r="AAO1" s="9" t="s">
        <v>978</v>
      </c>
      <c r="AAP1" s="9" t="s">
        <v>979</v>
      </c>
      <c r="AAQ1" s="9" t="s">
        <v>980</v>
      </c>
      <c r="AAR1" s="9" t="s">
        <v>981</v>
      </c>
      <c r="AAS1" s="9" t="s">
        <v>982</v>
      </c>
      <c r="AAT1" s="9" t="s">
        <v>983</v>
      </c>
      <c r="AAU1" s="9" t="s">
        <v>984</v>
      </c>
      <c r="AAV1" s="9" t="s">
        <v>985</v>
      </c>
      <c r="AAW1" s="9" t="s">
        <v>986</v>
      </c>
      <c r="AAX1" s="9" t="s">
        <v>987</v>
      </c>
      <c r="AAY1" s="9" t="s">
        <v>988</v>
      </c>
      <c r="AAZ1" s="9" t="s">
        <v>989</v>
      </c>
      <c r="ABA1" s="9" t="s">
        <v>990</v>
      </c>
      <c r="ABB1" s="9" t="s">
        <v>991</v>
      </c>
      <c r="ABC1" s="9" t="s">
        <v>992</v>
      </c>
      <c r="ABD1" s="9" t="s">
        <v>993</v>
      </c>
      <c r="ABE1" s="9" t="s">
        <v>994</v>
      </c>
      <c r="ABF1" s="9" t="s">
        <v>995</v>
      </c>
      <c r="ABG1" s="9" t="s">
        <v>996</v>
      </c>
      <c r="ABH1" s="9" t="s">
        <v>997</v>
      </c>
      <c r="ABI1" s="9" t="s">
        <v>998</v>
      </c>
      <c r="ABJ1" s="9" t="s">
        <v>999</v>
      </c>
      <c r="ABK1" s="9" t="s">
        <v>1000</v>
      </c>
      <c r="ABL1" s="9" t="s">
        <v>1001</v>
      </c>
      <c r="ABM1" s="9" t="s">
        <v>1002</v>
      </c>
      <c r="ABN1" s="9" t="s">
        <v>1003</v>
      </c>
      <c r="ABO1" s="9" t="s">
        <v>1004</v>
      </c>
      <c r="ABP1" s="9" t="s">
        <v>1005</v>
      </c>
      <c r="ABQ1" s="9" t="s">
        <v>1006</v>
      </c>
      <c r="ABR1" s="9" t="s">
        <v>1007</v>
      </c>
      <c r="ABS1" s="9" t="s">
        <v>1008</v>
      </c>
      <c r="ABT1" s="9" t="s">
        <v>1009</v>
      </c>
      <c r="ABU1" s="9" t="s">
        <v>1010</v>
      </c>
      <c r="ABV1" s="9" t="s">
        <v>1011</v>
      </c>
      <c r="ABW1" s="9" t="s">
        <v>1012</v>
      </c>
      <c r="ABX1" s="9" t="s">
        <v>1013</v>
      </c>
      <c r="ABY1" s="9" t="s">
        <v>1014</v>
      </c>
      <c r="ABZ1" s="9" t="s">
        <v>1015</v>
      </c>
      <c r="ACA1" s="9" t="s">
        <v>1016</v>
      </c>
      <c r="ACB1" s="9" t="s">
        <v>1017</v>
      </c>
      <c r="ACC1" s="9" t="s">
        <v>1018</v>
      </c>
      <c r="ACD1" s="9" t="s">
        <v>1019</v>
      </c>
      <c r="ACE1" s="9" t="s">
        <v>1020</v>
      </c>
      <c r="ACF1" s="9" t="s">
        <v>1021</v>
      </c>
      <c r="ACG1" s="9" t="s">
        <v>1022</v>
      </c>
      <c r="ACH1" s="9" t="s">
        <v>1023</v>
      </c>
      <c r="ACI1" s="9" t="s">
        <v>1024</v>
      </c>
      <c r="ACJ1" s="9" t="s">
        <v>1025</v>
      </c>
      <c r="ACK1" s="9" t="s">
        <v>1026</v>
      </c>
      <c r="ACL1" s="9" t="s">
        <v>1027</v>
      </c>
      <c r="ACM1" s="9" t="s">
        <v>1028</v>
      </c>
      <c r="ACN1" s="9" t="s">
        <v>1029</v>
      </c>
      <c r="ACO1" s="9" t="s">
        <v>1030</v>
      </c>
      <c r="ACP1" s="9" t="s">
        <v>1031</v>
      </c>
      <c r="ACQ1" s="9" t="s">
        <v>1032</v>
      </c>
      <c r="ACR1" s="9" t="s">
        <v>1033</v>
      </c>
      <c r="ACS1" s="9" t="s">
        <v>1034</v>
      </c>
      <c r="ACT1" s="9" t="s">
        <v>1035</v>
      </c>
      <c r="ACU1" s="9" t="s">
        <v>1036</v>
      </c>
      <c r="ACV1" s="9" t="s">
        <v>1037</v>
      </c>
      <c r="ACW1" s="9" t="s">
        <v>1038</v>
      </c>
      <c r="ACX1" s="9" t="s">
        <v>1039</v>
      </c>
      <c r="ACY1" s="9" t="s">
        <v>1040</v>
      </c>
      <c r="ACZ1" s="9" t="s">
        <v>1041</v>
      </c>
      <c r="ADA1" s="9" t="s">
        <v>1042</v>
      </c>
      <c r="ADB1" s="9" t="s">
        <v>1043</v>
      </c>
      <c r="ADC1" s="9" t="s">
        <v>1044</v>
      </c>
      <c r="ADD1" s="9" t="s">
        <v>1045</v>
      </c>
      <c r="ADE1" s="9" t="s">
        <v>1046</v>
      </c>
      <c r="ADF1" s="9" t="s">
        <v>1047</v>
      </c>
      <c r="ADG1" s="9" t="s">
        <v>1048</v>
      </c>
      <c r="ADH1" s="9" t="s">
        <v>1049</v>
      </c>
      <c r="ADI1" s="9" t="s">
        <v>1050</v>
      </c>
      <c r="ADJ1" s="9" t="s">
        <v>1051</v>
      </c>
      <c r="ADK1" s="9" t="s">
        <v>1052</v>
      </c>
      <c r="ADL1" s="9" t="s">
        <v>1053</v>
      </c>
      <c r="ADM1" s="9" t="s">
        <v>1054</v>
      </c>
      <c r="ADN1" s="9" t="s">
        <v>1055</v>
      </c>
      <c r="ADO1" s="9" t="s">
        <v>1056</v>
      </c>
      <c r="ADP1" s="9" t="s">
        <v>1057</v>
      </c>
      <c r="ADQ1" s="9" t="s">
        <v>1058</v>
      </c>
      <c r="ADR1" s="9" t="s">
        <v>1059</v>
      </c>
      <c r="ADS1" s="9" t="s">
        <v>1060</v>
      </c>
      <c r="ADT1" s="9" t="s">
        <v>1061</v>
      </c>
      <c r="ADU1" s="9" t="s">
        <v>1062</v>
      </c>
      <c r="ADV1" s="9" t="s">
        <v>1063</v>
      </c>
      <c r="ADW1" s="9" t="s">
        <v>1064</v>
      </c>
      <c r="ADX1" s="9" t="s">
        <v>1065</v>
      </c>
      <c r="ADY1" s="9" t="s">
        <v>1066</v>
      </c>
      <c r="ADZ1" s="9" t="s">
        <v>1067</v>
      </c>
      <c r="AEA1" s="9" t="s">
        <v>1068</v>
      </c>
      <c r="AEB1" s="9" t="s">
        <v>1069</v>
      </c>
      <c r="AEC1" s="9" t="s">
        <v>1070</v>
      </c>
      <c r="AED1" s="9" t="s">
        <v>1071</v>
      </c>
      <c r="AEE1" s="9" t="s">
        <v>1072</v>
      </c>
      <c r="AEF1" s="9" t="s">
        <v>1073</v>
      </c>
      <c r="AEG1" s="9" t="s">
        <v>1074</v>
      </c>
      <c r="AEH1" s="9" t="s">
        <v>1075</v>
      </c>
      <c r="AEI1" s="9" t="s">
        <v>1076</v>
      </c>
      <c r="AEJ1" s="9" t="s">
        <v>1077</v>
      </c>
      <c r="AEK1" s="9" t="s">
        <v>1078</v>
      </c>
      <c r="AEL1" s="9" t="s">
        <v>1079</v>
      </c>
      <c r="AEM1" s="9" t="s">
        <v>1080</v>
      </c>
      <c r="AEN1" s="9" t="s">
        <v>1081</v>
      </c>
      <c r="AEO1" s="9" t="s">
        <v>1082</v>
      </c>
      <c r="AEP1" s="9" t="s">
        <v>1083</v>
      </c>
      <c r="AEQ1" s="9" t="s">
        <v>1084</v>
      </c>
      <c r="AER1" s="9" t="s">
        <v>1085</v>
      </c>
      <c r="AES1" s="9" t="s">
        <v>1086</v>
      </c>
      <c r="AET1" s="9" t="s">
        <v>1087</v>
      </c>
      <c r="AEU1" s="9" t="s">
        <v>1088</v>
      </c>
      <c r="AEV1" s="9" t="s">
        <v>1089</v>
      </c>
      <c r="AEW1" s="9" t="s">
        <v>1090</v>
      </c>
      <c r="AEX1" s="9" t="s">
        <v>1091</v>
      </c>
      <c r="AEY1" s="9" t="s">
        <v>1092</v>
      </c>
      <c r="AEZ1" s="9" t="s">
        <v>1093</v>
      </c>
      <c r="AFA1" s="9" t="s">
        <v>1094</v>
      </c>
      <c r="AFB1" s="9" t="s">
        <v>1095</v>
      </c>
      <c r="AFC1" s="9" t="s">
        <v>1096</v>
      </c>
      <c r="AFD1" s="9" t="s">
        <v>1097</v>
      </c>
      <c r="AFE1" s="9" t="s">
        <v>1098</v>
      </c>
      <c r="AFF1" s="9" t="s">
        <v>1099</v>
      </c>
      <c r="AFG1" s="9" t="s">
        <v>1100</v>
      </c>
      <c r="AFH1" s="9" t="s">
        <v>1101</v>
      </c>
      <c r="AFI1" s="9" t="s">
        <v>1102</v>
      </c>
      <c r="AFJ1" s="9" t="s">
        <v>1103</v>
      </c>
      <c r="AFK1" s="9" t="s">
        <v>1104</v>
      </c>
      <c r="AFL1" s="9" t="s">
        <v>1105</v>
      </c>
      <c r="AFM1" s="9" t="s">
        <v>1106</v>
      </c>
      <c r="AFN1" s="9" t="s">
        <v>1107</v>
      </c>
      <c r="AFO1" s="9" t="s">
        <v>1108</v>
      </c>
      <c r="AFP1" s="9" t="s">
        <v>1109</v>
      </c>
      <c r="AFQ1" s="9" t="s">
        <v>1110</v>
      </c>
      <c r="AFR1" s="9" t="s">
        <v>1111</v>
      </c>
      <c r="AFS1" s="9" t="s">
        <v>1112</v>
      </c>
      <c r="AFT1" s="9" t="s">
        <v>1113</v>
      </c>
      <c r="AFU1" s="9" t="s">
        <v>1114</v>
      </c>
      <c r="AFV1" s="9" t="s">
        <v>1115</v>
      </c>
      <c r="AFW1" s="9" t="s">
        <v>1116</v>
      </c>
      <c r="AFX1" s="9" t="s">
        <v>1117</v>
      </c>
      <c r="AFY1" s="9" t="s">
        <v>1118</v>
      </c>
      <c r="AFZ1" s="9" t="s">
        <v>1119</v>
      </c>
      <c r="AGA1" s="9" t="s">
        <v>1120</v>
      </c>
      <c r="AGB1" s="9" t="s">
        <v>1121</v>
      </c>
      <c r="AGC1" s="9" t="s">
        <v>1122</v>
      </c>
      <c r="AGD1" s="9" t="s">
        <v>1123</v>
      </c>
      <c r="AGE1" s="9" t="s">
        <v>1124</v>
      </c>
      <c r="AGF1" s="9" t="s">
        <v>1125</v>
      </c>
      <c r="AGG1" s="9" t="s">
        <v>1126</v>
      </c>
      <c r="AGH1" s="9" t="s">
        <v>1127</v>
      </c>
      <c r="AGI1" s="9" t="s">
        <v>1128</v>
      </c>
      <c r="AGJ1" s="9" t="s">
        <v>1129</v>
      </c>
      <c r="AGK1" s="9" t="s">
        <v>1130</v>
      </c>
      <c r="AGL1" s="9" t="s">
        <v>1131</v>
      </c>
      <c r="AGM1" s="9" t="s">
        <v>1132</v>
      </c>
      <c r="AGN1" s="9" t="s">
        <v>1133</v>
      </c>
      <c r="AGO1" s="9" t="s">
        <v>1134</v>
      </c>
      <c r="AGP1" s="9" t="s">
        <v>1135</v>
      </c>
      <c r="AGQ1" s="9" t="s">
        <v>1136</v>
      </c>
      <c r="AGR1" s="9" t="s">
        <v>1137</v>
      </c>
      <c r="AGS1" s="9" t="s">
        <v>1138</v>
      </c>
      <c r="AGT1" s="9" t="s">
        <v>1139</v>
      </c>
      <c r="AGU1" s="9" t="s">
        <v>1140</v>
      </c>
      <c r="AGV1" s="9" t="s">
        <v>1141</v>
      </c>
      <c r="AGW1" s="9" t="s">
        <v>1142</v>
      </c>
      <c r="AGX1" s="9" t="s">
        <v>1143</v>
      </c>
      <c r="AGY1" s="9" t="s">
        <v>1144</v>
      </c>
      <c r="AGZ1" s="9" t="s">
        <v>1145</v>
      </c>
      <c r="AHA1" s="9" t="s">
        <v>1146</v>
      </c>
      <c r="AHB1" s="9" t="s">
        <v>1147</v>
      </c>
      <c r="AHC1" s="9" t="s">
        <v>1148</v>
      </c>
      <c r="AHD1" s="9" t="s">
        <v>1149</v>
      </c>
      <c r="AHE1" s="9" t="s">
        <v>1150</v>
      </c>
      <c r="AHF1" s="9" t="s">
        <v>1151</v>
      </c>
      <c r="AHG1" s="9" t="s">
        <v>1152</v>
      </c>
      <c r="AHH1" s="9" t="s">
        <v>1153</v>
      </c>
      <c r="AHI1" s="9" t="s">
        <v>1154</v>
      </c>
      <c r="AHJ1" s="9" t="s">
        <v>1155</v>
      </c>
      <c r="AHK1" s="9" t="s">
        <v>1156</v>
      </c>
      <c r="AHL1" s="9" t="s">
        <v>1157</v>
      </c>
      <c r="AHM1" s="9" t="s">
        <v>1158</v>
      </c>
      <c r="AHN1" s="9" t="s">
        <v>1159</v>
      </c>
      <c r="AHO1" s="9" t="s">
        <v>1160</v>
      </c>
      <c r="AHP1" s="9" t="s">
        <v>1161</v>
      </c>
      <c r="AHQ1" s="9" t="s">
        <v>1162</v>
      </c>
      <c r="AHR1" s="9" t="s">
        <v>1163</v>
      </c>
      <c r="AHS1" s="9" t="s">
        <v>1164</v>
      </c>
      <c r="AHT1" s="9" t="s">
        <v>1165</v>
      </c>
      <c r="AHU1" s="9" t="s">
        <v>1166</v>
      </c>
      <c r="AHV1" s="9" t="s">
        <v>1167</v>
      </c>
      <c r="AHW1" s="9" t="s">
        <v>1168</v>
      </c>
      <c r="AHX1" s="9" t="s">
        <v>1169</v>
      </c>
      <c r="AHY1" s="9" t="s">
        <v>1170</v>
      </c>
      <c r="AHZ1" s="9" t="s">
        <v>1171</v>
      </c>
      <c r="AIA1" s="9" t="s">
        <v>1172</v>
      </c>
      <c r="AIB1" s="9" t="s">
        <v>1173</v>
      </c>
      <c r="AIC1" s="9" t="s">
        <v>1174</v>
      </c>
      <c r="AID1" s="9" t="s">
        <v>1175</v>
      </c>
      <c r="AIE1" s="9" t="s">
        <v>1176</v>
      </c>
      <c r="AIF1" s="9" t="s">
        <v>1177</v>
      </c>
      <c r="AIG1" s="9" t="s">
        <v>1178</v>
      </c>
      <c r="AIH1" s="9" t="s">
        <v>1179</v>
      </c>
      <c r="AII1" s="9" t="s">
        <v>1180</v>
      </c>
      <c r="AIJ1" s="9" t="s">
        <v>1181</v>
      </c>
      <c r="AIK1" s="9" t="s">
        <v>1182</v>
      </c>
      <c r="AIL1" s="9" t="s">
        <v>1183</v>
      </c>
      <c r="AIM1" s="9" t="s">
        <v>1184</v>
      </c>
      <c r="AIN1" s="9" t="s">
        <v>1185</v>
      </c>
      <c r="AIO1" s="9" t="s">
        <v>1186</v>
      </c>
      <c r="AIP1" s="9" t="s">
        <v>1187</v>
      </c>
      <c r="AIQ1" s="9" t="s">
        <v>1188</v>
      </c>
      <c r="AIR1" s="9" t="s">
        <v>1189</v>
      </c>
      <c r="AIS1" s="9" t="s">
        <v>1190</v>
      </c>
      <c r="AIT1" s="9" t="s">
        <v>1191</v>
      </c>
      <c r="AIU1" s="9" t="s">
        <v>1192</v>
      </c>
      <c r="AIV1" s="9" t="s">
        <v>1193</v>
      </c>
      <c r="AIW1" s="9" t="s">
        <v>1194</v>
      </c>
      <c r="AIX1" s="9" t="s">
        <v>1195</v>
      </c>
      <c r="AIY1" s="9" t="s">
        <v>1196</v>
      </c>
      <c r="AIZ1" s="9" t="s">
        <v>1197</v>
      </c>
      <c r="AJA1" s="9" t="s">
        <v>1198</v>
      </c>
      <c r="AJB1" s="9" t="s">
        <v>1199</v>
      </c>
      <c r="AJC1" s="9" t="s">
        <v>1200</v>
      </c>
      <c r="AJD1" s="9" t="s">
        <v>1201</v>
      </c>
      <c r="AJE1" s="9" t="s">
        <v>1202</v>
      </c>
      <c r="AJF1" s="9" t="s">
        <v>1203</v>
      </c>
      <c r="AJG1" s="9" t="s">
        <v>1204</v>
      </c>
      <c r="AJH1" s="9" t="s">
        <v>1205</v>
      </c>
      <c r="AJI1" s="9" t="s">
        <v>1206</v>
      </c>
      <c r="AJJ1" s="9" t="s">
        <v>1207</v>
      </c>
      <c r="AJK1" s="9" t="s">
        <v>1208</v>
      </c>
      <c r="AJL1" s="9" t="s">
        <v>1209</v>
      </c>
      <c r="AJM1" s="9" t="s">
        <v>1210</v>
      </c>
      <c r="AJN1" s="9" t="s">
        <v>1211</v>
      </c>
      <c r="AJO1" s="9" t="s">
        <v>1212</v>
      </c>
      <c r="AJP1" s="9" t="s">
        <v>1213</v>
      </c>
      <c r="AJQ1" s="9" t="s">
        <v>1214</v>
      </c>
      <c r="AJR1" s="9" t="s">
        <v>1215</v>
      </c>
      <c r="AJS1" s="9" t="s">
        <v>1216</v>
      </c>
      <c r="AJT1" s="9" t="s">
        <v>1217</v>
      </c>
      <c r="AJU1" s="9" t="s">
        <v>1218</v>
      </c>
      <c r="AJV1" s="9" t="s">
        <v>1219</v>
      </c>
      <c r="AJW1" s="9" t="s">
        <v>1220</v>
      </c>
      <c r="AJX1" s="9" t="s">
        <v>1221</v>
      </c>
      <c r="AJY1" s="9" t="s">
        <v>1222</v>
      </c>
      <c r="AJZ1" s="9" t="s">
        <v>1223</v>
      </c>
      <c r="AKA1" s="9" t="s">
        <v>1224</v>
      </c>
      <c r="AKB1" s="9" t="s">
        <v>1225</v>
      </c>
      <c r="AKC1" s="9" t="s">
        <v>1226</v>
      </c>
      <c r="AKD1" s="9" t="s">
        <v>1227</v>
      </c>
      <c r="AKE1" s="9" t="s">
        <v>1228</v>
      </c>
      <c r="AKF1" s="9" t="s">
        <v>1229</v>
      </c>
      <c r="AKG1" s="9" t="s">
        <v>1230</v>
      </c>
      <c r="AKH1" s="9" t="s">
        <v>1231</v>
      </c>
      <c r="AKI1" s="9" t="s">
        <v>1232</v>
      </c>
      <c r="AKJ1" s="9" t="s">
        <v>1233</v>
      </c>
      <c r="AKK1" s="9" t="s">
        <v>1234</v>
      </c>
      <c r="AKL1" s="9" t="s">
        <v>1235</v>
      </c>
      <c r="AKM1" s="9" t="s">
        <v>1236</v>
      </c>
      <c r="AKN1" s="9" t="s">
        <v>1237</v>
      </c>
      <c r="AKO1" s="9" t="s">
        <v>1238</v>
      </c>
      <c r="AKP1" s="9" t="s">
        <v>1239</v>
      </c>
      <c r="AKQ1" s="9" t="s">
        <v>1240</v>
      </c>
      <c r="AKR1" s="9" t="s">
        <v>1241</v>
      </c>
      <c r="AKS1" s="9" t="s">
        <v>1242</v>
      </c>
      <c r="AKT1" s="9" t="s">
        <v>1243</v>
      </c>
      <c r="AKU1" s="9" t="s">
        <v>1244</v>
      </c>
      <c r="AKV1" s="9" t="s">
        <v>1245</v>
      </c>
      <c r="AKW1" s="9" t="s">
        <v>1246</v>
      </c>
      <c r="AKX1" s="9" t="s">
        <v>1247</v>
      </c>
      <c r="AKY1" s="9" t="s">
        <v>1248</v>
      </c>
      <c r="AKZ1" s="9" t="s">
        <v>1249</v>
      </c>
      <c r="ALA1" s="9" t="s">
        <v>1250</v>
      </c>
      <c r="ALB1" s="9" t="s">
        <v>1251</v>
      </c>
      <c r="ALC1" s="9" t="s">
        <v>1252</v>
      </c>
      <c r="ALD1" s="9" t="s">
        <v>1253</v>
      </c>
      <c r="ALE1" s="9" t="s">
        <v>1254</v>
      </c>
      <c r="ALF1" s="9" t="s">
        <v>1255</v>
      </c>
      <c r="ALG1" s="9" t="s">
        <v>1256</v>
      </c>
      <c r="ALH1" s="9" t="s">
        <v>1257</v>
      </c>
      <c r="ALI1" s="9" t="s">
        <v>1258</v>
      </c>
      <c r="ALJ1" s="9" t="s">
        <v>1259</v>
      </c>
      <c r="ALK1" s="9" t="s">
        <v>1260</v>
      </c>
      <c r="ALL1" s="9" t="s">
        <v>1261</v>
      </c>
      <c r="ALM1" s="9" t="s">
        <v>1262</v>
      </c>
      <c r="ALN1" s="9" t="s">
        <v>1263</v>
      </c>
      <c r="ALO1" s="9" t="s">
        <v>1264</v>
      </c>
      <c r="ALP1" s="9" t="s">
        <v>1265</v>
      </c>
      <c r="ALQ1" s="9" t="s">
        <v>1266</v>
      </c>
      <c r="ALR1" s="9" t="s">
        <v>1267</v>
      </c>
      <c r="ALS1" s="9" t="s">
        <v>1268</v>
      </c>
      <c r="ALT1" s="9" t="s">
        <v>1269</v>
      </c>
      <c r="ALU1" s="9" t="s">
        <v>1270</v>
      </c>
      <c r="ALV1" s="9" t="s">
        <v>1271</v>
      </c>
      <c r="ALW1" s="9" t="s">
        <v>1272</v>
      </c>
      <c r="ALX1" s="9" t="s">
        <v>1273</v>
      </c>
      <c r="ALY1" s="9" t="s">
        <v>1274</v>
      </c>
      <c r="ALZ1" s="9" t="s">
        <v>1275</v>
      </c>
      <c r="AMA1" s="9" t="s">
        <v>1276</v>
      </c>
      <c r="AMB1" s="9" t="s">
        <v>1277</v>
      </c>
      <c r="AMC1" s="9" t="s">
        <v>1278</v>
      </c>
      <c r="AMD1" s="9" t="s">
        <v>1279</v>
      </c>
      <c r="AME1" s="9" t="s">
        <v>1280</v>
      </c>
      <c r="AMF1" s="9" t="s">
        <v>1281</v>
      </c>
      <c r="AMG1" s="9" t="s">
        <v>1282</v>
      </c>
      <c r="AMH1" s="9" t="s">
        <v>1283</v>
      </c>
      <c r="AMI1" s="9" t="s">
        <v>1284</v>
      </c>
      <c r="AMJ1" s="9" t="s">
        <v>1285</v>
      </c>
      <c r="AMK1" s="9" t="s">
        <v>1286</v>
      </c>
      <c r="AML1" s="9" t="s">
        <v>1287</v>
      </c>
      <c r="AMM1" s="9" t="s">
        <v>1288</v>
      </c>
      <c r="AMN1" s="9" t="s">
        <v>1289</v>
      </c>
      <c r="AMO1" s="9" t="s">
        <v>1290</v>
      </c>
      <c r="AMP1" s="9" t="s">
        <v>1291</v>
      </c>
      <c r="AMQ1" s="9" t="s">
        <v>1292</v>
      </c>
      <c r="AMR1" s="9" t="s">
        <v>1293</v>
      </c>
      <c r="AMS1" s="9" t="s">
        <v>1294</v>
      </c>
      <c r="AMT1" s="9" t="s">
        <v>1295</v>
      </c>
      <c r="AMU1" s="9" t="s">
        <v>1296</v>
      </c>
      <c r="AMV1" s="9" t="s">
        <v>1297</v>
      </c>
      <c r="AMW1" s="9" t="s">
        <v>1298</v>
      </c>
      <c r="AMX1" s="9" t="s">
        <v>1299</v>
      </c>
      <c r="AMY1" s="9" t="s">
        <v>1300</v>
      </c>
      <c r="AMZ1" s="9" t="s">
        <v>1301</v>
      </c>
      <c r="ANA1" s="9" t="s">
        <v>1302</v>
      </c>
      <c r="ANB1" s="9" t="s">
        <v>1303</v>
      </c>
      <c r="ANC1" s="9" t="s">
        <v>1304</v>
      </c>
      <c r="AND1" s="9" t="s">
        <v>1305</v>
      </c>
      <c r="ANE1" s="9" t="s">
        <v>1306</v>
      </c>
      <c r="ANF1" s="9" t="s">
        <v>1307</v>
      </c>
      <c r="ANG1" s="9" t="s">
        <v>1308</v>
      </c>
      <c r="ANH1" s="9" t="s">
        <v>1309</v>
      </c>
      <c r="ANI1" s="9" t="s">
        <v>1310</v>
      </c>
      <c r="ANJ1" s="9" t="s">
        <v>1311</v>
      </c>
      <c r="ANK1" s="9" t="s">
        <v>1312</v>
      </c>
      <c r="ANL1" s="9" t="s">
        <v>1313</v>
      </c>
      <c r="ANM1" s="9" t="s">
        <v>1314</v>
      </c>
      <c r="ANN1" s="9" t="s">
        <v>1315</v>
      </c>
      <c r="ANO1" s="9" t="s">
        <v>1316</v>
      </c>
      <c r="ANP1" s="9" t="s">
        <v>1317</v>
      </c>
      <c r="ANQ1" s="9" t="s">
        <v>1318</v>
      </c>
      <c r="ANR1" s="9" t="s">
        <v>1319</v>
      </c>
      <c r="ANS1" s="9" t="s">
        <v>1320</v>
      </c>
      <c r="ANT1" s="9" t="s">
        <v>1321</v>
      </c>
      <c r="ANU1" s="9" t="s">
        <v>1322</v>
      </c>
    </row>
    <row r="2" spans="1:1061" x14ac:dyDescent="0.3">
      <c r="A2" s="6" t="s">
        <v>23</v>
      </c>
      <c r="B2" s="5" t="str" cm="1">
        <f t="array" ref="B2:AJ2">TRANSPOSE(A3:A37)</f>
        <v xml:space="preserve">44, Cours Georges Clemenceau, 33000 Bordeaux </v>
      </c>
      <c r="C2" s="5" t="str">
        <v>ROSHEIM 67560. France</v>
      </c>
      <c r="D2" s="5" t="str">
        <v>1 Rue René Dumont. Vierzon 18100. France</v>
      </c>
      <c r="E2" s="5" t="str">
        <v>44 avenue Occitanie. SAINT MAUR 36250. France</v>
      </c>
      <c r="F2" s="5" t="str">
        <v>L'Aumône. MUR DE SOLOGNE 41230. France</v>
      </c>
      <c r="G2" s="5" t="str">
        <v>1 Rue du Boisillon. ZI des Châtelets. Ploufragan 22440. France</v>
      </c>
      <c r="H2" s="5" t="str">
        <v>5. rue de la Motte. LUCE 28110. France</v>
      </c>
      <c r="I2" s="5" t="str">
        <v>Bourges 18000. France</v>
      </c>
      <c r="J2" s="5" t="str">
        <v>12 rue du Rocher. Saint-Barthélemy-d'Anjou 49184. France</v>
      </c>
      <c r="K2" s="5" t="str">
        <v>Chaingy 45380. France</v>
      </c>
      <c r="L2" s="5" t="str">
        <v>20 rue Archimède. Hennebont 56700. France</v>
      </c>
      <c r="M2" s="5" t="str">
        <v>16 rue Léon Berthault. Rennes 35039. France</v>
      </c>
      <c r="N2" s="5" t="str">
        <v>17. boulevard de la Millière. Marseille 13011. France</v>
      </c>
      <c r="O2" s="5" t="str">
        <v>101 Avenue Ibrahim Ali. Marseille 13015. France</v>
      </c>
      <c r="P2" s="5" t="str">
        <v>48. route de l'Ile Saint-Julien. Bonneuil-sur-Marne 94380. France</v>
      </c>
      <c r="Q2" s="5" t="str">
        <v>ZI du Trousset. Saint-Jean de Braye 45800. France</v>
      </c>
      <c r="R2" s="5" t="str">
        <v>1 Cité Nouvelle. Trignac 44570. France</v>
      </c>
      <c r="S2" s="5" t="str">
        <v>1 Rue Louis Blériot Bègles 33130. France</v>
      </c>
      <c r="T2" s="5" t="str">
        <v>1 Rue Gustave Eiffel. Bergerac 24100. France</v>
      </c>
      <c r="U2" s="5" t="str">
        <v>Brimont. Boé 47550. France</v>
      </c>
      <c r="V2" s="5" t="str">
        <v>Avenue du Mistral. La Ciotat 13600. France</v>
      </c>
      <c r="W2" s="5" t="str">
        <v>209. avenue de la Roudet. Libourne 33500. France</v>
      </c>
      <c r="X2" s="5" t="str">
        <v>45. Avenue Frédéric et Irène Joliot Curie. Lons 64140. France</v>
      </c>
      <c r="Y2" s="5" t="str">
        <v>18 chemin Fenouillet. Toulouse 31200. France</v>
      </c>
      <c r="Z2" s="5" t="str">
        <v>165 rue Alphonse Penaud. GUIPAVAS 29990. France</v>
      </c>
      <c r="AA2" s="5" t="str">
        <v>1 Rue du Fief. Amiens 80046. France</v>
      </c>
      <c r="AB2" s="5" t="str">
        <v>Cité navale. Couëron 44220. France</v>
      </c>
      <c r="AC2" s="5" t="str">
        <v>1 Rue Benoit Perret. Albens 73410. France</v>
      </c>
      <c r="AD2" s="5" t="str">
        <v>1 rue Benjamin Franklin. Gerzat 63360. France</v>
      </c>
      <c r="AE2" s="5" t="str">
        <v>La Bargette. St Priest en Jarez 42270. France</v>
      </c>
      <c r="AF2" s="5" t="str">
        <v>59 rue de l'Ile Gabourd. Voreppe 38340. France</v>
      </c>
      <c r="AG2" s="5" t="str">
        <v>51490 Beine-Nauroy</v>
      </c>
      <c r="AH2" s="5" t="str">
        <v>1 Rue des Frères Lumière. Zone Portuaire Nord. Chalon sur Saône 71100. France</v>
      </c>
      <c r="AI2" s="5" t="str">
        <v>258 avenue René Jacot. Etupes 25460. France</v>
      </c>
      <c r="AJ2" s="5" t="str">
        <v>Impasse des Taupières. Nevers 58000. France</v>
      </c>
      <c r="AK2" s="5"/>
      <c r="AL2" s="5"/>
      <c r="AM2" s="5"/>
      <c r="AN2" s="5"/>
      <c r="AO2" s="5"/>
      <c r="AP2" s="5"/>
      <c r="AQ2" s="5"/>
      <c r="AR2" s="5"/>
      <c r="AS2" s="5"/>
      <c r="AT2" s="5"/>
    </row>
    <row r="3" spans="1:1061" x14ac:dyDescent="0.3">
      <c r="A3" s="32" t="s">
        <v>1437</v>
      </c>
      <c r="B3" s="5">
        <v>0</v>
      </c>
      <c r="C3" s="5">
        <v>927.45299999999997</v>
      </c>
      <c r="D3" s="5">
        <v>401.24200000000002</v>
      </c>
      <c r="E3" s="5">
        <v>336.53500000000003</v>
      </c>
      <c r="F3" s="5">
        <v>419.029</v>
      </c>
      <c r="G3" s="5">
        <v>559.16399999999999</v>
      </c>
      <c r="H3" s="5">
        <v>546.35199999999998</v>
      </c>
      <c r="I3" s="5">
        <v>486.56400000000002</v>
      </c>
      <c r="J3" s="5">
        <v>395.86</v>
      </c>
      <c r="K3" s="5">
        <v>451.96</v>
      </c>
      <c r="L3" s="5">
        <v>507.25799999999998</v>
      </c>
      <c r="M3" s="5">
        <v>462.15899999999999</v>
      </c>
      <c r="N3" s="5">
        <v>657.57500000000005</v>
      </c>
      <c r="O3" s="5">
        <v>643.12300000000005</v>
      </c>
      <c r="P3" s="5">
        <v>585.75300000000004</v>
      </c>
      <c r="Q3" s="5">
        <v>470.64600000000002</v>
      </c>
      <c r="R3" s="5">
        <v>407.64699999999999</v>
      </c>
      <c r="S3" s="5">
        <v>7.7990000000000004</v>
      </c>
      <c r="T3" s="5">
        <v>121.128</v>
      </c>
      <c r="U3" s="5">
        <v>141.77799999999999</v>
      </c>
      <c r="V3" s="5">
        <v>678.76400000000001</v>
      </c>
      <c r="W3" s="5">
        <v>46.375999999999998</v>
      </c>
      <c r="X3" s="5">
        <v>214.75</v>
      </c>
      <c r="Y3" s="5">
        <v>238.249</v>
      </c>
      <c r="Z3" s="5">
        <v>642.55499999999995</v>
      </c>
      <c r="AA3" s="5">
        <v>732.75300000000004</v>
      </c>
      <c r="AB3" s="5">
        <v>360.702</v>
      </c>
      <c r="AC3" s="5">
        <v>677.42200000000003</v>
      </c>
      <c r="AD3" s="5">
        <v>397.78500000000003</v>
      </c>
      <c r="AE3" s="5">
        <v>531.67600000000004</v>
      </c>
      <c r="AF3" s="5">
        <v>650.423</v>
      </c>
      <c r="AG3" s="5">
        <v>735.87300000000005</v>
      </c>
      <c r="AH3" s="5">
        <v>579.99699999999996</v>
      </c>
      <c r="AI3" s="5">
        <v>782.08</v>
      </c>
      <c r="AJ3" s="5">
        <v>536.63599999999997</v>
      </c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1:1061" x14ac:dyDescent="0.3">
      <c r="A4" s="5" t="s">
        <v>30</v>
      </c>
      <c r="B4" s="5">
        <v>925.95100000000002</v>
      </c>
      <c r="C4" s="5">
        <v>0</v>
      </c>
      <c r="D4" s="5">
        <v>692.27099999999996</v>
      </c>
      <c r="E4" s="5">
        <v>660.21</v>
      </c>
      <c r="F4" s="5">
        <v>683.76499999999999</v>
      </c>
      <c r="G4" s="5">
        <v>951.15499999999997</v>
      </c>
      <c r="H4" s="5">
        <v>598.44799999999998</v>
      </c>
      <c r="I4" s="5">
        <v>560.64599999999996</v>
      </c>
      <c r="J4" s="5">
        <v>799.20399999999995</v>
      </c>
      <c r="K4" s="5">
        <v>612.84500000000003</v>
      </c>
      <c r="L4" s="5">
        <v>989.71500000000003</v>
      </c>
      <c r="M4" s="5">
        <v>854.779</v>
      </c>
      <c r="N4" s="5">
        <v>792.44899999999996</v>
      </c>
      <c r="O4" s="5">
        <v>777.96</v>
      </c>
      <c r="P4" s="5">
        <v>511.46800000000002</v>
      </c>
      <c r="Q4" s="5">
        <v>608.43200000000002</v>
      </c>
      <c r="R4" s="5">
        <v>933.54700000000003</v>
      </c>
      <c r="S4" s="5">
        <v>922.95500000000004</v>
      </c>
      <c r="T4" s="5">
        <v>836.79600000000005</v>
      </c>
      <c r="U4" s="5">
        <v>961.03200000000004</v>
      </c>
      <c r="V4" s="5">
        <v>813.56500000000005</v>
      </c>
      <c r="W4" s="5">
        <v>885.77300000000002</v>
      </c>
      <c r="X4" s="5">
        <v>1126.1179999999999</v>
      </c>
      <c r="Y4" s="5">
        <v>921.45699999999999</v>
      </c>
      <c r="Z4" s="5">
        <v>1085.903</v>
      </c>
      <c r="AA4" s="5">
        <v>545.12</v>
      </c>
      <c r="AB4" s="5">
        <v>896.67399999999998</v>
      </c>
      <c r="AC4" s="5">
        <v>427.31299999999999</v>
      </c>
      <c r="AD4" s="5">
        <v>607.95899999999995</v>
      </c>
      <c r="AE4" s="5">
        <v>531.78399999999999</v>
      </c>
      <c r="AF4" s="5">
        <v>542.30799999999999</v>
      </c>
      <c r="AG4" s="5">
        <v>378.49200000000002</v>
      </c>
      <c r="AH4" s="5">
        <v>348.51499999999999</v>
      </c>
      <c r="AI4" s="5">
        <v>148.01499999999999</v>
      </c>
      <c r="AJ4" s="5">
        <v>473.38499999999999</v>
      </c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1061" x14ac:dyDescent="0.3">
      <c r="A5" s="5" t="s">
        <v>33</v>
      </c>
      <c r="B5" s="5">
        <v>400.86399999999998</v>
      </c>
      <c r="C5" s="5">
        <v>715.78899999999999</v>
      </c>
      <c r="D5" s="5">
        <v>0</v>
      </c>
      <c r="E5" s="5">
        <v>71.504000000000005</v>
      </c>
      <c r="F5" s="5">
        <v>58.807000000000002</v>
      </c>
      <c r="G5" s="5">
        <v>484.56400000000002</v>
      </c>
      <c r="H5" s="5">
        <v>166.136</v>
      </c>
      <c r="I5" s="5">
        <v>37.884</v>
      </c>
      <c r="J5" s="5">
        <v>243.87899999999999</v>
      </c>
      <c r="K5" s="5">
        <v>96.325999999999993</v>
      </c>
      <c r="L5" s="5">
        <v>478.73399999999998</v>
      </c>
      <c r="M5" s="5">
        <v>388.18799999999999</v>
      </c>
      <c r="N5" s="5">
        <v>683.40599999999995</v>
      </c>
      <c r="O5" s="5">
        <v>668.91700000000003</v>
      </c>
      <c r="P5" s="5">
        <v>219.63499999999999</v>
      </c>
      <c r="Q5" s="5">
        <v>104.078</v>
      </c>
      <c r="R5" s="5">
        <v>378.22199999999998</v>
      </c>
      <c r="S5" s="5">
        <v>402.98200000000003</v>
      </c>
      <c r="T5" s="5">
        <v>378.17500000000001</v>
      </c>
      <c r="U5" s="5">
        <v>502.411</v>
      </c>
      <c r="V5" s="5">
        <v>704.52200000000005</v>
      </c>
      <c r="W5" s="5">
        <v>427.15199999999999</v>
      </c>
      <c r="X5" s="5">
        <v>606.14499999999998</v>
      </c>
      <c r="Y5" s="5">
        <v>462.83600000000001</v>
      </c>
      <c r="Z5" s="5">
        <v>614.04200000000003</v>
      </c>
      <c r="AA5" s="5">
        <v>365.45</v>
      </c>
      <c r="AB5" s="5">
        <v>341.34899999999999</v>
      </c>
      <c r="AC5" s="5">
        <v>482.38</v>
      </c>
      <c r="AD5" s="5">
        <v>205.64699999999999</v>
      </c>
      <c r="AE5" s="5">
        <v>338.19499999999999</v>
      </c>
      <c r="AF5" s="5">
        <v>457.41199999999998</v>
      </c>
      <c r="AG5" s="5">
        <v>369.44900000000001</v>
      </c>
      <c r="AH5" s="5">
        <v>314.43799999999999</v>
      </c>
      <c r="AI5" s="5">
        <v>570.029</v>
      </c>
      <c r="AJ5" s="5">
        <v>116.74299999999999</v>
      </c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1061" x14ac:dyDescent="0.3">
      <c r="A6" s="5" t="s">
        <v>36</v>
      </c>
      <c r="B6" s="5">
        <v>336.178</v>
      </c>
      <c r="C6" s="5">
        <v>662.11</v>
      </c>
      <c r="D6" s="5">
        <v>72.150000000000006</v>
      </c>
      <c r="E6" s="5">
        <v>0</v>
      </c>
      <c r="F6" s="5">
        <v>121.49299999999999</v>
      </c>
      <c r="G6" s="5">
        <v>547.25</v>
      </c>
      <c r="H6" s="5">
        <v>228.822</v>
      </c>
      <c r="I6" s="5">
        <v>112.711</v>
      </c>
      <c r="J6" s="5">
        <v>306.565</v>
      </c>
      <c r="K6" s="5">
        <v>159.012</v>
      </c>
      <c r="L6" s="5">
        <v>541.41999999999996</v>
      </c>
      <c r="M6" s="5">
        <v>450.87400000000002</v>
      </c>
      <c r="N6" s="5">
        <v>681.81899999999996</v>
      </c>
      <c r="O6" s="5">
        <v>667.33</v>
      </c>
      <c r="P6" s="5">
        <v>282.32100000000003</v>
      </c>
      <c r="Q6" s="5">
        <v>166.76400000000001</v>
      </c>
      <c r="R6" s="5">
        <v>440.90800000000002</v>
      </c>
      <c r="S6" s="5">
        <v>338.27499999999998</v>
      </c>
      <c r="T6" s="5">
        <v>313.46800000000002</v>
      </c>
      <c r="U6" s="5">
        <v>437.70400000000001</v>
      </c>
      <c r="V6" s="5">
        <v>702.93499999999995</v>
      </c>
      <c r="W6" s="5">
        <v>362.44499999999999</v>
      </c>
      <c r="X6" s="5">
        <v>541.43799999999999</v>
      </c>
      <c r="Y6" s="5">
        <v>398.12900000000002</v>
      </c>
      <c r="Z6" s="5">
        <v>676.72799999999995</v>
      </c>
      <c r="AA6" s="5">
        <v>428.13600000000002</v>
      </c>
      <c r="AB6" s="5">
        <v>404.03500000000003</v>
      </c>
      <c r="AC6" s="5">
        <v>480.79300000000001</v>
      </c>
      <c r="AD6" s="5">
        <v>204.06</v>
      </c>
      <c r="AE6" s="5">
        <v>336.608</v>
      </c>
      <c r="AF6" s="5">
        <v>455.82499999999999</v>
      </c>
      <c r="AG6" s="5">
        <v>432.13499999999999</v>
      </c>
      <c r="AH6" s="5">
        <v>312.851</v>
      </c>
      <c r="AI6" s="5">
        <v>516.35</v>
      </c>
      <c r="AJ6" s="5">
        <v>191.57</v>
      </c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1061" x14ac:dyDescent="0.3">
      <c r="A7" s="5" t="s">
        <v>39</v>
      </c>
      <c r="B7" s="5">
        <v>421.91199999999998</v>
      </c>
      <c r="C7" s="5">
        <v>707.27</v>
      </c>
      <c r="D7" s="5">
        <v>58.238</v>
      </c>
      <c r="E7" s="5">
        <v>121.857</v>
      </c>
      <c r="F7" s="5">
        <v>0</v>
      </c>
      <c r="G7" s="5">
        <v>422.11599999999999</v>
      </c>
      <c r="H7" s="5">
        <v>157.61699999999999</v>
      </c>
      <c r="I7" s="5">
        <v>89.225999999999999</v>
      </c>
      <c r="J7" s="5">
        <v>206.16</v>
      </c>
      <c r="K7" s="5">
        <v>77.537999999999997</v>
      </c>
      <c r="L7" s="5">
        <v>441.01499999999999</v>
      </c>
      <c r="M7" s="5">
        <v>325.74</v>
      </c>
      <c r="N7" s="5">
        <v>734.74800000000005</v>
      </c>
      <c r="O7" s="5">
        <v>720.25900000000001</v>
      </c>
      <c r="P7" s="5">
        <v>211.11600000000001</v>
      </c>
      <c r="Q7" s="5">
        <v>95.558999999999997</v>
      </c>
      <c r="R7" s="5">
        <v>340.50299999999999</v>
      </c>
      <c r="S7" s="5">
        <v>420.76900000000001</v>
      </c>
      <c r="T7" s="5">
        <v>428.52800000000002</v>
      </c>
      <c r="U7" s="5">
        <v>553.48699999999997</v>
      </c>
      <c r="V7" s="5">
        <v>755.86400000000003</v>
      </c>
      <c r="W7" s="5">
        <v>385.90100000000001</v>
      </c>
      <c r="X7" s="5">
        <v>623.93200000000002</v>
      </c>
      <c r="Y7" s="5">
        <v>513.18899999999996</v>
      </c>
      <c r="Z7" s="5">
        <v>556.86400000000003</v>
      </c>
      <c r="AA7" s="5">
        <v>356.93099999999998</v>
      </c>
      <c r="AB7" s="5">
        <v>303.63</v>
      </c>
      <c r="AC7" s="5">
        <v>533.72199999999998</v>
      </c>
      <c r="AD7" s="5">
        <v>256.98899999999998</v>
      </c>
      <c r="AE7" s="5">
        <v>389.53699999999998</v>
      </c>
      <c r="AF7" s="5">
        <v>508.75400000000002</v>
      </c>
      <c r="AG7" s="5">
        <v>360.93</v>
      </c>
      <c r="AH7" s="5">
        <v>417.11399999999998</v>
      </c>
      <c r="AI7" s="5">
        <v>561.51</v>
      </c>
      <c r="AJ7" s="5">
        <v>168.08500000000001</v>
      </c>
      <c r="AK7" s="5"/>
      <c r="AL7" s="5"/>
      <c r="AM7" s="5"/>
      <c r="AN7" s="5"/>
      <c r="AO7" s="5"/>
      <c r="AP7" s="5"/>
      <c r="AQ7" s="5"/>
      <c r="AR7" s="5"/>
      <c r="AS7" s="5"/>
      <c r="AT7" s="5"/>
    </row>
    <row r="8" spans="1:1061" x14ac:dyDescent="0.3">
      <c r="A8" s="5" t="s">
        <v>42</v>
      </c>
      <c r="B8" s="5">
        <v>558.18399999999997</v>
      </c>
      <c r="C8" s="5">
        <v>951.27800000000002</v>
      </c>
      <c r="D8" s="5">
        <v>483.62599999999998</v>
      </c>
      <c r="E8" s="5">
        <v>477.221</v>
      </c>
      <c r="F8" s="5">
        <v>421.77</v>
      </c>
      <c r="G8" s="5">
        <v>0</v>
      </c>
      <c r="H8" s="5">
        <v>360.50200000000001</v>
      </c>
      <c r="I8" s="5">
        <v>514.61400000000003</v>
      </c>
      <c r="J8" s="5">
        <v>240.303</v>
      </c>
      <c r="K8" s="5">
        <v>439.12299999999999</v>
      </c>
      <c r="L8" s="5">
        <v>105.292</v>
      </c>
      <c r="M8" s="5">
        <v>100.11199999999999</v>
      </c>
      <c r="N8" s="5">
        <v>1160.136</v>
      </c>
      <c r="O8" s="5">
        <v>1145.6469999999999</v>
      </c>
      <c r="P8" s="5">
        <v>452.178</v>
      </c>
      <c r="Q8" s="5">
        <v>457.14400000000001</v>
      </c>
      <c r="R8" s="5">
        <v>195.04</v>
      </c>
      <c r="S8" s="5">
        <v>560.904</v>
      </c>
      <c r="T8" s="5">
        <v>636.77099999999996</v>
      </c>
      <c r="U8" s="5">
        <v>693.62199999999996</v>
      </c>
      <c r="V8" s="5">
        <v>1181.252</v>
      </c>
      <c r="W8" s="5">
        <v>559.53399999999999</v>
      </c>
      <c r="X8" s="5">
        <v>764.06700000000001</v>
      </c>
      <c r="Y8" s="5">
        <v>790.52499999999998</v>
      </c>
      <c r="Z8" s="5">
        <v>147.57300000000001</v>
      </c>
      <c r="AA8" s="5">
        <v>484.41899999999998</v>
      </c>
      <c r="AB8" s="5">
        <v>216.60900000000001</v>
      </c>
      <c r="AC8" s="5">
        <v>959.11</v>
      </c>
      <c r="AD8" s="5">
        <v>682.37699999999995</v>
      </c>
      <c r="AE8" s="5">
        <v>814.92499999999995</v>
      </c>
      <c r="AF8" s="5">
        <v>934.14200000000005</v>
      </c>
      <c r="AG8" s="5">
        <v>601.99199999999996</v>
      </c>
      <c r="AH8" s="5">
        <v>745.18899999999996</v>
      </c>
      <c r="AI8" s="5">
        <v>889.58500000000004</v>
      </c>
      <c r="AJ8" s="5">
        <v>593.47299999999996</v>
      </c>
      <c r="AK8" s="5"/>
      <c r="AL8" s="5"/>
      <c r="AM8" s="5"/>
      <c r="AN8" s="5"/>
      <c r="AO8" s="5"/>
      <c r="AP8" s="5"/>
      <c r="AQ8" s="5"/>
      <c r="AR8" s="5"/>
      <c r="AS8" s="5"/>
      <c r="AT8" s="5"/>
    </row>
    <row r="9" spans="1:1061" x14ac:dyDescent="0.3">
      <c r="A9" s="5" t="s">
        <v>45</v>
      </c>
      <c r="B9" s="5">
        <v>544.50599999999997</v>
      </c>
      <c r="C9" s="5">
        <v>598.17399999999998</v>
      </c>
      <c r="D9" s="5">
        <v>166.05500000000001</v>
      </c>
      <c r="E9" s="5">
        <v>229.67400000000001</v>
      </c>
      <c r="F9" s="5">
        <v>157.54900000000001</v>
      </c>
      <c r="G9" s="5">
        <v>362.32600000000002</v>
      </c>
      <c r="H9" s="5">
        <v>0</v>
      </c>
      <c r="I9" s="5">
        <v>197.04300000000001</v>
      </c>
      <c r="J9" s="5">
        <v>210.375</v>
      </c>
      <c r="K9" s="5">
        <v>86.629000000000005</v>
      </c>
      <c r="L9" s="5">
        <v>400.88600000000002</v>
      </c>
      <c r="M9" s="5">
        <v>265.95</v>
      </c>
      <c r="N9" s="5">
        <v>839.33500000000004</v>
      </c>
      <c r="O9" s="5">
        <v>824.846</v>
      </c>
      <c r="P9" s="5">
        <v>99.073999999999998</v>
      </c>
      <c r="Q9" s="5">
        <v>82.215999999999994</v>
      </c>
      <c r="R9" s="5">
        <v>344.71800000000002</v>
      </c>
      <c r="S9" s="5">
        <v>548.09199999999998</v>
      </c>
      <c r="T9" s="5">
        <v>536.34500000000003</v>
      </c>
      <c r="U9" s="5">
        <v>680.81</v>
      </c>
      <c r="V9" s="5">
        <v>860.45100000000002</v>
      </c>
      <c r="W9" s="5">
        <v>513.22400000000005</v>
      </c>
      <c r="X9" s="5">
        <v>751.255</v>
      </c>
      <c r="Y9" s="5">
        <v>621.00599999999997</v>
      </c>
      <c r="Z9" s="5">
        <v>497.07400000000001</v>
      </c>
      <c r="AA9" s="5">
        <v>235.898</v>
      </c>
      <c r="AB9" s="5">
        <v>307.84500000000003</v>
      </c>
      <c r="AC9" s="5">
        <v>598.65700000000004</v>
      </c>
      <c r="AD9" s="5">
        <v>364.80599999999998</v>
      </c>
      <c r="AE9" s="5">
        <v>497.35399999999998</v>
      </c>
      <c r="AF9" s="5">
        <v>614.23400000000004</v>
      </c>
      <c r="AG9" s="5">
        <v>248.88800000000001</v>
      </c>
      <c r="AH9" s="5">
        <v>392.08499999999998</v>
      </c>
      <c r="AI9" s="5">
        <v>536.48099999999999</v>
      </c>
      <c r="AJ9" s="5">
        <v>264.99599999999998</v>
      </c>
      <c r="AK9" s="5"/>
      <c r="AL9" s="5"/>
      <c r="AM9" s="5"/>
      <c r="AN9" s="5"/>
      <c r="AO9" s="5"/>
      <c r="AP9" s="5"/>
      <c r="AQ9" s="5"/>
      <c r="AR9" s="5"/>
      <c r="AS9" s="5"/>
      <c r="AT9" s="5"/>
    </row>
    <row r="10" spans="1:1061" x14ac:dyDescent="0.3">
      <c r="A10" s="5" t="s">
        <v>48</v>
      </c>
      <c r="B10" s="5">
        <v>487.74599999999998</v>
      </c>
      <c r="C10" s="5">
        <v>565.78599999999994</v>
      </c>
      <c r="D10" s="5">
        <v>37.520000000000003</v>
      </c>
      <c r="E10" s="5">
        <v>111.336</v>
      </c>
      <c r="F10" s="5">
        <v>88.623000000000005</v>
      </c>
      <c r="G10" s="5">
        <v>514.38</v>
      </c>
      <c r="H10" s="5">
        <v>195.952</v>
      </c>
      <c r="I10" s="5">
        <v>0</v>
      </c>
      <c r="J10" s="5">
        <v>273.69499999999999</v>
      </c>
      <c r="K10" s="5">
        <v>126.142</v>
      </c>
      <c r="L10" s="5">
        <v>508.55</v>
      </c>
      <c r="M10" s="5">
        <v>418.00400000000002</v>
      </c>
      <c r="N10" s="5">
        <v>660.73</v>
      </c>
      <c r="O10" s="5">
        <v>646.24099999999999</v>
      </c>
      <c r="P10" s="5">
        <v>249.45099999999999</v>
      </c>
      <c r="Q10" s="5">
        <v>133.89400000000001</v>
      </c>
      <c r="R10" s="5">
        <v>408.03800000000001</v>
      </c>
      <c r="S10" s="5">
        <v>488.30399999999997</v>
      </c>
      <c r="T10" s="5">
        <v>418.00700000000001</v>
      </c>
      <c r="U10" s="5">
        <v>542.24300000000005</v>
      </c>
      <c r="V10" s="5">
        <v>681.846</v>
      </c>
      <c r="W10" s="5">
        <v>466.98399999999998</v>
      </c>
      <c r="X10" s="5">
        <v>691.46699999999998</v>
      </c>
      <c r="Y10" s="5">
        <v>502.66800000000001</v>
      </c>
      <c r="Z10" s="5">
        <v>643.85799999999995</v>
      </c>
      <c r="AA10" s="5">
        <v>395.26600000000002</v>
      </c>
      <c r="AB10" s="5">
        <v>371.16500000000002</v>
      </c>
      <c r="AC10" s="5">
        <v>459.70400000000001</v>
      </c>
      <c r="AD10" s="5">
        <v>182.971</v>
      </c>
      <c r="AE10" s="5">
        <v>315.51900000000001</v>
      </c>
      <c r="AF10" s="5">
        <v>434.73599999999999</v>
      </c>
      <c r="AG10" s="5">
        <v>399.26499999999999</v>
      </c>
      <c r="AH10" s="5">
        <v>241.40899999999999</v>
      </c>
      <c r="AI10" s="5">
        <v>420.02600000000001</v>
      </c>
      <c r="AJ10" s="5">
        <v>77.909000000000006</v>
      </c>
      <c r="AK10" s="5"/>
      <c r="AL10" s="5"/>
      <c r="AM10" s="5"/>
      <c r="AN10" s="5"/>
      <c r="AO10" s="5"/>
      <c r="AP10" s="5"/>
      <c r="AQ10" s="5"/>
      <c r="AR10" s="5"/>
      <c r="AS10" s="5"/>
      <c r="AT10" s="5"/>
    </row>
    <row r="11" spans="1:1061" x14ac:dyDescent="0.3">
      <c r="A11" s="5" t="s">
        <v>51</v>
      </c>
      <c r="B11" s="5">
        <v>395.87099999999998</v>
      </c>
      <c r="C11" s="5">
        <v>800.678</v>
      </c>
      <c r="D11" s="5">
        <v>245.346</v>
      </c>
      <c r="E11" s="5">
        <v>238.941</v>
      </c>
      <c r="F11" s="5">
        <v>210.5</v>
      </c>
      <c r="G11" s="5">
        <v>239.78200000000001</v>
      </c>
      <c r="H11" s="5">
        <v>209.90199999999999</v>
      </c>
      <c r="I11" s="5">
        <v>276.334</v>
      </c>
      <c r="J11" s="5">
        <v>0</v>
      </c>
      <c r="K11" s="5">
        <v>240.85</v>
      </c>
      <c r="L11" s="5">
        <v>254.239</v>
      </c>
      <c r="M11" s="5">
        <v>142.779</v>
      </c>
      <c r="N11" s="5">
        <v>921.85599999999999</v>
      </c>
      <c r="O11" s="5">
        <v>907.36699999999996</v>
      </c>
      <c r="P11" s="5">
        <v>301.57799999999997</v>
      </c>
      <c r="Q11" s="5">
        <v>258.87099999999998</v>
      </c>
      <c r="R11" s="5">
        <v>153.727</v>
      </c>
      <c r="S11" s="5">
        <v>397.6</v>
      </c>
      <c r="T11" s="5">
        <v>473.46699999999998</v>
      </c>
      <c r="U11" s="5">
        <v>530.31799999999998</v>
      </c>
      <c r="V11" s="5">
        <v>942.97199999999998</v>
      </c>
      <c r="W11" s="5">
        <v>396.23</v>
      </c>
      <c r="X11" s="5">
        <v>600.76300000000003</v>
      </c>
      <c r="Y11" s="5">
        <v>627.221</v>
      </c>
      <c r="Z11" s="5">
        <v>389.54700000000003</v>
      </c>
      <c r="AA11" s="5">
        <v>423.07900000000001</v>
      </c>
      <c r="AB11" s="5">
        <v>116.854</v>
      </c>
      <c r="AC11" s="5">
        <v>720.83</v>
      </c>
      <c r="AD11" s="5">
        <v>444.09699999999998</v>
      </c>
      <c r="AE11" s="5">
        <v>576.64499999999998</v>
      </c>
      <c r="AF11" s="5">
        <v>695.86199999999997</v>
      </c>
      <c r="AG11" s="5">
        <v>451.392</v>
      </c>
      <c r="AH11" s="5">
        <v>580.42600000000004</v>
      </c>
      <c r="AI11" s="5">
        <v>724.822</v>
      </c>
      <c r="AJ11" s="5">
        <v>355.19299999999998</v>
      </c>
      <c r="AK11" s="5"/>
      <c r="AL11" s="5"/>
      <c r="AM11" s="5"/>
      <c r="AN11" s="5"/>
      <c r="AO11" s="5"/>
      <c r="AP11" s="5"/>
      <c r="AQ11" s="5"/>
      <c r="AR11" s="5"/>
      <c r="AS11" s="5"/>
      <c r="AT11" s="5"/>
    </row>
    <row r="12" spans="1:1061" x14ac:dyDescent="0.3">
      <c r="A12" s="5" t="s">
        <v>54</v>
      </c>
      <c r="B12" s="5">
        <v>452.036</v>
      </c>
      <c r="C12" s="5">
        <v>636.274</v>
      </c>
      <c r="D12" s="5">
        <v>95.444000000000003</v>
      </c>
      <c r="E12" s="5">
        <v>159.06299999999999</v>
      </c>
      <c r="F12" s="5">
        <v>76.760999999999996</v>
      </c>
      <c r="G12" s="5">
        <v>439.48500000000001</v>
      </c>
      <c r="H12" s="5">
        <v>86.620999999999995</v>
      </c>
      <c r="I12" s="5">
        <v>126.432</v>
      </c>
      <c r="J12" s="5">
        <v>239.624</v>
      </c>
      <c r="K12" s="5">
        <v>0</v>
      </c>
      <c r="L12" s="5">
        <v>474.47899999999998</v>
      </c>
      <c r="M12" s="5">
        <v>343.10899999999998</v>
      </c>
      <c r="N12" s="5">
        <v>771.95399999999995</v>
      </c>
      <c r="O12" s="5">
        <v>757.46500000000003</v>
      </c>
      <c r="P12" s="5">
        <v>140.12</v>
      </c>
      <c r="Q12" s="5">
        <v>20.719000000000001</v>
      </c>
      <c r="R12" s="5">
        <v>373.96699999999998</v>
      </c>
      <c r="S12" s="5">
        <v>453.7</v>
      </c>
      <c r="T12" s="5">
        <v>465.73399999999998</v>
      </c>
      <c r="U12" s="5">
        <v>586.41800000000001</v>
      </c>
      <c r="V12" s="5">
        <v>793.07</v>
      </c>
      <c r="W12" s="5">
        <v>418.83199999999999</v>
      </c>
      <c r="X12" s="5">
        <v>656.86300000000006</v>
      </c>
      <c r="Y12" s="5">
        <v>550.39499999999998</v>
      </c>
      <c r="Z12" s="5">
        <v>574.23299999999995</v>
      </c>
      <c r="AA12" s="5">
        <v>285.935</v>
      </c>
      <c r="AB12" s="5">
        <v>337.09399999999999</v>
      </c>
      <c r="AC12" s="5">
        <v>552.69000000000005</v>
      </c>
      <c r="AD12" s="5">
        <v>294.19499999999999</v>
      </c>
      <c r="AE12" s="5">
        <v>426.74299999999999</v>
      </c>
      <c r="AF12" s="5">
        <v>545.96</v>
      </c>
      <c r="AG12" s="5">
        <v>289.93400000000003</v>
      </c>
      <c r="AH12" s="5">
        <v>346.11799999999999</v>
      </c>
      <c r="AI12" s="5">
        <v>490.51400000000001</v>
      </c>
      <c r="AJ12" s="5">
        <v>228.16800000000001</v>
      </c>
      <c r="AK12" s="5"/>
      <c r="AL12" s="5"/>
      <c r="AM12" s="5"/>
      <c r="AN12" s="5"/>
      <c r="AO12" s="5"/>
      <c r="AP12" s="5"/>
      <c r="AQ12" s="5"/>
      <c r="AR12" s="5"/>
      <c r="AS12" s="5"/>
      <c r="AT12" s="5"/>
    </row>
    <row r="13" spans="1:1061" x14ac:dyDescent="0.3">
      <c r="A13" s="5" t="s">
        <v>57</v>
      </c>
      <c r="B13" s="5">
        <v>505.83100000000002</v>
      </c>
      <c r="C13" s="5">
        <v>990.31799999999998</v>
      </c>
      <c r="D13" s="5">
        <v>478.86</v>
      </c>
      <c r="E13" s="5">
        <v>472.45499999999998</v>
      </c>
      <c r="F13" s="5">
        <v>444.01400000000001</v>
      </c>
      <c r="G13" s="5">
        <v>104.04</v>
      </c>
      <c r="H13" s="5">
        <v>399.54199999999997</v>
      </c>
      <c r="I13" s="5">
        <v>509.84800000000001</v>
      </c>
      <c r="J13" s="5">
        <v>253.96899999999999</v>
      </c>
      <c r="K13" s="5">
        <v>474.36399999999998</v>
      </c>
      <c r="L13" s="5">
        <v>0</v>
      </c>
      <c r="M13" s="5">
        <v>135.54900000000001</v>
      </c>
      <c r="N13" s="5">
        <v>1155.3699999999999</v>
      </c>
      <c r="O13" s="5">
        <v>1140.8810000000001</v>
      </c>
      <c r="P13" s="5">
        <v>491.21800000000002</v>
      </c>
      <c r="Q13" s="5">
        <v>492.38499999999999</v>
      </c>
      <c r="R13" s="5">
        <v>130.321</v>
      </c>
      <c r="S13" s="5">
        <v>508.99799999999999</v>
      </c>
      <c r="T13" s="5">
        <v>584.86500000000001</v>
      </c>
      <c r="U13" s="5">
        <v>641.71600000000001</v>
      </c>
      <c r="V13" s="5">
        <v>1176.4860000000001</v>
      </c>
      <c r="W13" s="5">
        <v>507.62799999999999</v>
      </c>
      <c r="X13" s="5">
        <v>712.16099999999994</v>
      </c>
      <c r="Y13" s="5">
        <v>738.61900000000003</v>
      </c>
      <c r="Z13" s="5">
        <v>139.06299999999999</v>
      </c>
      <c r="AA13" s="5">
        <v>574.40300000000002</v>
      </c>
      <c r="AB13" s="5">
        <v>157.25800000000001</v>
      </c>
      <c r="AC13" s="5">
        <v>954.34400000000005</v>
      </c>
      <c r="AD13" s="5">
        <v>677.61099999999999</v>
      </c>
      <c r="AE13" s="5">
        <v>810.16</v>
      </c>
      <c r="AF13" s="5">
        <v>929.37599999999998</v>
      </c>
      <c r="AG13" s="5">
        <v>641.03200000000004</v>
      </c>
      <c r="AH13" s="5">
        <v>784.22900000000004</v>
      </c>
      <c r="AI13" s="5">
        <v>928.625</v>
      </c>
      <c r="AJ13" s="5">
        <v>588.70699999999999</v>
      </c>
      <c r="AK13" s="5"/>
      <c r="AL13" s="5"/>
      <c r="AM13" s="5"/>
      <c r="AN13" s="5"/>
      <c r="AO13" s="5"/>
      <c r="AP13" s="5"/>
      <c r="AQ13" s="5"/>
      <c r="AR13" s="5"/>
      <c r="AS13" s="5"/>
      <c r="AT13" s="5"/>
    </row>
    <row r="14" spans="1:1061" x14ac:dyDescent="0.3">
      <c r="A14" s="5" t="s">
        <v>60</v>
      </c>
      <c r="B14" s="5">
        <v>461.18099999999998</v>
      </c>
      <c r="C14" s="5">
        <v>855.447</v>
      </c>
      <c r="D14" s="5">
        <v>387.79500000000002</v>
      </c>
      <c r="E14" s="5">
        <v>381.39</v>
      </c>
      <c r="F14" s="5">
        <v>325.93900000000002</v>
      </c>
      <c r="G14" s="5">
        <v>99.512</v>
      </c>
      <c r="H14" s="5">
        <v>264.67099999999999</v>
      </c>
      <c r="I14" s="5">
        <v>418.78300000000002</v>
      </c>
      <c r="J14" s="5">
        <v>143.298</v>
      </c>
      <c r="K14" s="5">
        <v>343.29199999999997</v>
      </c>
      <c r="L14" s="5">
        <v>135.642</v>
      </c>
      <c r="M14" s="5">
        <v>0</v>
      </c>
      <c r="N14" s="5">
        <v>1064.3050000000001</v>
      </c>
      <c r="O14" s="5">
        <v>1049.816</v>
      </c>
      <c r="P14" s="5">
        <v>356.34699999999998</v>
      </c>
      <c r="Q14" s="5">
        <v>361.31299999999999</v>
      </c>
      <c r="R14" s="5">
        <v>122.767</v>
      </c>
      <c r="S14" s="5">
        <v>463.899</v>
      </c>
      <c r="T14" s="5">
        <v>539.76599999999996</v>
      </c>
      <c r="U14" s="5">
        <v>596.61699999999996</v>
      </c>
      <c r="V14" s="5">
        <v>1085.421</v>
      </c>
      <c r="W14" s="5">
        <v>462.529</v>
      </c>
      <c r="X14" s="5">
        <v>667.06200000000001</v>
      </c>
      <c r="Y14" s="5">
        <v>693.52</v>
      </c>
      <c r="Z14" s="5">
        <v>234.26</v>
      </c>
      <c r="AA14" s="5">
        <v>439.53199999999998</v>
      </c>
      <c r="AB14" s="5">
        <v>119.604</v>
      </c>
      <c r="AC14" s="5">
        <v>863.279</v>
      </c>
      <c r="AD14" s="5">
        <v>586.54600000000005</v>
      </c>
      <c r="AE14" s="5">
        <v>719.09400000000005</v>
      </c>
      <c r="AF14" s="5">
        <v>838.31100000000004</v>
      </c>
      <c r="AG14" s="5">
        <v>506.161</v>
      </c>
      <c r="AH14" s="5">
        <v>649.35799999999995</v>
      </c>
      <c r="AI14" s="5">
        <v>793.75400000000002</v>
      </c>
      <c r="AJ14" s="5">
        <v>497.642</v>
      </c>
      <c r="AK14" s="5"/>
      <c r="AL14" s="5"/>
      <c r="AM14" s="5"/>
      <c r="AN14" s="5"/>
      <c r="AO14" s="5"/>
      <c r="AP14" s="5"/>
      <c r="AQ14" s="5"/>
      <c r="AR14" s="5"/>
      <c r="AS14" s="5"/>
      <c r="AT14" s="5"/>
    </row>
    <row r="15" spans="1:1061" x14ac:dyDescent="0.3">
      <c r="A15" s="5" t="s">
        <v>63</v>
      </c>
      <c r="B15" s="5">
        <v>658.32500000000005</v>
      </c>
      <c r="C15" s="5">
        <v>793.48900000000003</v>
      </c>
      <c r="D15" s="5">
        <v>683.23299999999995</v>
      </c>
      <c r="E15" s="5">
        <v>680.82100000000003</v>
      </c>
      <c r="F15" s="5">
        <v>734.33600000000001</v>
      </c>
      <c r="G15" s="5">
        <v>1160.0930000000001</v>
      </c>
      <c r="H15" s="5">
        <v>838.21600000000001</v>
      </c>
      <c r="I15" s="5">
        <v>661.65599999999995</v>
      </c>
      <c r="J15" s="5">
        <v>919.40800000000002</v>
      </c>
      <c r="K15" s="5">
        <v>771.85500000000002</v>
      </c>
      <c r="L15" s="5">
        <v>1154.2629999999999</v>
      </c>
      <c r="M15" s="5">
        <v>1063.7170000000001</v>
      </c>
      <c r="N15" s="5">
        <v>0</v>
      </c>
      <c r="O15" s="5">
        <v>17.141999999999999</v>
      </c>
      <c r="P15" s="5">
        <v>788.33600000000001</v>
      </c>
      <c r="Q15" s="5">
        <v>779.60699999999997</v>
      </c>
      <c r="R15" s="5">
        <v>1053.751</v>
      </c>
      <c r="S15" s="5">
        <v>651.30200000000002</v>
      </c>
      <c r="T15" s="5">
        <v>625.29</v>
      </c>
      <c r="U15" s="5">
        <v>529.447</v>
      </c>
      <c r="V15" s="5">
        <v>22.577999999999999</v>
      </c>
      <c r="W15" s="5">
        <v>691.84100000000001</v>
      </c>
      <c r="X15" s="5">
        <v>609.19500000000005</v>
      </c>
      <c r="Y15" s="5">
        <v>424.05599999999998</v>
      </c>
      <c r="Z15" s="5">
        <v>1289.5709999999999</v>
      </c>
      <c r="AA15" s="5">
        <v>939.822</v>
      </c>
      <c r="AB15" s="5">
        <v>1010.514</v>
      </c>
      <c r="AC15" s="5">
        <v>413.76499999999999</v>
      </c>
      <c r="AD15" s="5">
        <v>482.18599999999998</v>
      </c>
      <c r="AE15" s="5">
        <v>346.39</v>
      </c>
      <c r="AF15" s="5">
        <v>305.3</v>
      </c>
      <c r="AG15" s="5">
        <v>818.16300000000001</v>
      </c>
      <c r="AH15" s="5">
        <v>449.09199999999998</v>
      </c>
      <c r="AI15" s="5">
        <v>647.72900000000004</v>
      </c>
      <c r="AJ15" s="5">
        <v>583.202</v>
      </c>
      <c r="AK15" s="5"/>
      <c r="AL15" s="5"/>
      <c r="AM15" s="5"/>
      <c r="AN15" s="5"/>
      <c r="AO15" s="5"/>
      <c r="AP15" s="5"/>
      <c r="AQ15" s="5"/>
      <c r="AR15" s="5"/>
      <c r="AS15" s="5"/>
      <c r="AT15" s="5"/>
    </row>
    <row r="16" spans="1:1061" x14ac:dyDescent="0.3">
      <c r="A16" s="5" t="s">
        <v>66</v>
      </c>
      <c r="B16" s="5">
        <v>643.83600000000001</v>
      </c>
      <c r="C16" s="5">
        <v>779.03700000000003</v>
      </c>
      <c r="D16" s="5">
        <v>668.78099999999995</v>
      </c>
      <c r="E16" s="5">
        <v>666.36900000000003</v>
      </c>
      <c r="F16" s="5">
        <v>719.88400000000001</v>
      </c>
      <c r="G16" s="5">
        <v>1145.6410000000001</v>
      </c>
      <c r="H16" s="5">
        <v>823.76400000000001</v>
      </c>
      <c r="I16" s="5">
        <v>647.20399999999995</v>
      </c>
      <c r="J16" s="5">
        <v>904.95600000000002</v>
      </c>
      <c r="K16" s="5">
        <v>757.40300000000002</v>
      </c>
      <c r="L16" s="5">
        <v>1139.8109999999999</v>
      </c>
      <c r="M16" s="5">
        <v>1049.2650000000001</v>
      </c>
      <c r="N16" s="5">
        <v>17.885000000000002</v>
      </c>
      <c r="O16" s="5">
        <v>0</v>
      </c>
      <c r="P16" s="5">
        <v>773.88400000000001</v>
      </c>
      <c r="Q16" s="5">
        <v>765.15499999999997</v>
      </c>
      <c r="R16" s="5">
        <v>1039.299</v>
      </c>
      <c r="S16" s="5">
        <v>636.85</v>
      </c>
      <c r="T16" s="5">
        <v>610.83799999999997</v>
      </c>
      <c r="U16" s="5">
        <v>514.995</v>
      </c>
      <c r="V16" s="5">
        <v>37.997</v>
      </c>
      <c r="W16" s="5">
        <v>677.38900000000001</v>
      </c>
      <c r="X16" s="5">
        <v>594.74300000000005</v>
      </c>
      <c r="Y16" s="5">
        <v>409.60399999999998</v>
      </c>
      <c r="Z16" s="5">
        <v>1275.1189999999999</v>
      </c>
      <c r="AA16" s="5">
        <v>925.37</v>
      </c>
      <c r="AB16" s="5">
        <v>996.06200000000001</v>
      </c>
      <c r="AC16" s="5">
        <v>399.31299999999999</v>
      </c>
      <c r="AD16" s="5">
        <v>467.73399999999998</v>
      </c>
      <c r="AE16" s="5">
        <v>331.93799999999999</v>
      </c>
      <c r="AF16" s="5">
        <v>290.84800000000001</v>
      </c>
      <c r="AG16" s="5">
        <v>803.71100000000001</v>
      </c>
      <c r="AH16" s="5">
        <v>434.64</v>
      </c>
      <c r="AI16" s="5">
        <v>633.27700000000004</v>
      </c>
      <c r="AJ16" s="5">
        <v>568.75</v>
      </c>
      <c r="AK16" s="5"/>
      <c r="AL16" s="5"/>
      <c r="AM16" s="5"/>
      <c r="AN16" s="5"/>
      <c r="AO16" s="5"/>
      <c r="AP16" s="5"/>
      <c r="AQ16" s="5"/>
      <c r="AR16" s="5"/>
      <c r="AS16" s="5"/>
      <c r="AT16" s="5"/>
    </row>
    <row r="17" spans="1:46" x14ac:dyDescent="0.3">
      <c r="A17" s="5" t="s">
        <v>69</v>
      </c>
      <c r="B17" s="5">
        <v>585.61400000000003</v>
      </c>
      <c r="C17" s="5">
        <v>511.85300000000001</v>
      </c>
      <c r="D17" s="5">
        <v>219.06</v>
      </c>
      <c r="E17" s="5">
        <v>282.67899999999997</v>
      </c>
      <c r="F17" s="5">
        <v>210.554</v>
      </c>
      <c r="G17" s="5">
        <v>452.29899999999998</v>
      </c>
      <c r="H17" s="5">
        <v>99.591999999999999</v>
      </c>
      <c r="I17" s="5">
        <v>250.048</v>
      </c>
      <c r="J17" s="5">
        <v>300.34800000000001</v>
      </c>
      <c r="K17" s="5">
        <v>139.63399999999999</v>
      </c>
      <c r="L17" s="5">
        <v>490.85899999999998</v>
      </c>
      <c r="M17" s="5">
        <v>355.923</v>
      </c>
      <c r="N17" s="5">
        <v>788.68299999999999</v>
      </c>
      <c r="O17" s="5">
        <v>774.19399999999996</v>
      </c>
      <c r="P17" s="5">
        <v>0</v>
      </c>
      <c r="Q17" s="5">
        <v>135.221</v>
      </c>
      <c r="R17" s="5">
        <v>434.69099999999997</v>
      </c>
      <c r="S17" s="5">
        <v>587.49300000000005</v>
      </c>
      <c r="T17" s="5">
        <v>589.35</v>
      </c>
      <c r="U17" s="5">
        <v>720.21100000000001</v>
      </c>
      <c r="V17" s="5">
        <v>809.79899999999998</v>
      </c>
      <c r="W17" s="5">
        <v>552.625</v>
      </c>
      <c r="X17" s="5">
        <v>790.65599999999995</v>
      </c>
      <c r="Y17" s="5">
        <v>674.01099999999997</v>
      </c>
      <c r="Z17" s="5">
        <v>587.04700000000003</v>
      </c>
      <c r="AA17" s="5">
        <v>168.809</v>
      </c>
      <c r="AB17" s="5">
        <v>397.81799999999998</v>
      </c>
      <c r="AC17" s="5">
        <v>548.005</v>
      </c>
      <c r="AD17" s="5">
        <v>417.81099999999998</v>
      </c>
      <c r="AE17" s="5">
        <v>528.01800000000003</v>
      </c>
      <c r="AF17" s="5">
        <v>563.58199999999999</v>
      </c>
      <c r="AG17" s="5">
        <v>162.56700000000001</v>
      </c>
      <c r="AH17" s="5">
        <v>341.43299999999999</v>
      </c>
      <c r="AI17" s="5">
        <v>485.82900000000001</v>
      </c>
      <c r="AJ17" s="5">
        <v>245.53399999999999</v>
      </c>
      <c r="AK17" s="5"/>
      <c r="AL17" s="5"/>
      <c r="AM17" s="5"/>
      <c r="AN17" s="5"/>
      <c r="AO17" s="5"/>
      <c r="AP17" s="5"/>
      <c r="AQ17" s="5"/>
      <c r="AR17" s="5"/>
      <c r="AS17" s="5"/>
      <c r="AT17" s="5"/>
    </row>
    <row r="18" spans="1:46" x14ac:dyDescent="0.3">
      <c r="A18" s="5" t="s">
        <v>72</v>
      </c>
      <c r="B18" s="5">
        <v>470.05700000000002</v>
      </c>
      <c r="C18" s="5">
        <v>632.62400000000002</v>
      </c>
      <c r="D18" s="5">
        <v>103.953</v>
      </c>
      <c r="E18" s="5">
        <v>167.572</v>
      </c>
      <c r="F18" s="5">
        <v>95.447000000000003</v>
      </c>
      <c r="G18" s="5">
        <v>458.17099999999999</v>
      </c>
      <c r="H18" s="5">
        <v>82.971000000000004</v>
      </c>
      <c r="I18" s="5">
        <v>134.941</v>
      </c>
      <c r="J18" s="5">
        <v>258.31</v>
      </c>
      <c r="K18" s="5">
        <v>20.727</v>
      </c>
      <c r="L18" s="5">
        <v>493.16500000000002</v>
      </c>
      <c r="M18" s="5">
        <v>361.79500000000002</v>
      </c>
      <c r="N18" s="5">
        <v>780.46299999999997</v>
      </c>
      <c r="O18" s="5">
        <v>765.97400000000005</v>
      </c>
      <c r="P18" s="5">
        <v>136.47</v>
      </c>
      <c r="Q18" s="5">
        <v>0</v>
      </c>
      <c r="R18" s="5">
        <v>392.65300000000002</v>
      </c>
      <c r="S18" s="5">
        <v>472.38600000000002</v>
      </c>
      <c r="T18" s="5">
        <v>474.24299999999999</v>
      </c>
      <c r="U18" s="5">
        <v>605.10400000000004</v>
      </c>
      <c r="V18" s="5">
        <v>801.57899999999995</v>
      </c>
      <c r="W18" s="5">
        <v>437.51799999999997</v>
      </c>
      <c r="X18" s="5">
        <v>675.54899999999998</v>
      </c>
      <c r="Y18" s="5">
        <v>558.904</v>
      </c>
      <c r="Z18" s="5">
        <v>592.91899999999998</v>
      </c>
      <c r="AA18" s="5">
        <v>282.28500000000003</v>
      </c>
      <c r="AB18" s="5">
        <v>355.78</v>
      </c>
      <c r="AC18" s="5">
        <v>549.04</v>
      </c>
      <c r="AD18" s="5">
        <v>302.70400000000001</v>
      </c>
      <c r="AE18" s="5">
        <v>435.25200000000001</v>
      </c>
      <c r="AF18" s="5">
        <v>564.61699999999996</v>
      </c>
      <c r="AG18" s="5">
        <v>286.28399999999999</v>
      </c>
      <c r="AH18" s="5">
        <v>342.46800000000002</v>
      </c>
      <c r="AI18" s="5">
        <v>486.86399999999998</v>
      </c>
      <c r="AJ18" s="5">
        <v>190.87100000000001</v>
      </c>
      <c r="AK18" s="5"/>
      <c r="AL18" s="5"/>
      <c r="AM18" s="5"/>
      <c r="AN18" s="5"/>
      <c r="AO18" s="5"/>
      <c r="AP18" s="5"/>
      <c r="AQ18" s="5"/>
      <c r="AR18" s="5"/>
      <c r="AS18" s="5"/>
      <c r="AT18" s="5"/>
    </row>
    <row r="19" spans="1:46" x14ac:dyDescent="0.3">
      <c r="A19" s="5" t="s">
        <v>75</v>
      </c>
      <c r="B19" s="5">
        <v>405.31900000000002</v>
      </c>
      <c r="C19" s="5">
        <v>934.58100000000002</v>
      </c>
      <c r="D19" s="5">
        <v>379.24900000000002</v>
      </c>
      <c r="E19" s="5">
        <v>372.84399999999999</v>
      </c>
      <c r="F19" s="5">
        <v>344.40300000000002</v>
      </c>
      <c r="G19" s="5">
        <v>193.93100000000001</v>
      </c>
      <c r="H19" s="5">
        <v>343.80500000000001</v>
      </c>
      <c r="I19" s="5">
        <v>410.23700000000002</v>
      </c>
      <c r="J19" s="5">
        <v>154.358</v>
      </c>
      <c r="K19" s="5">
        <v>374.75299999999999</v>
      </c>
      <c r="L19" s="5">
        <v>129.92500000000001</v>
      </c>
      <c r="M19" s="5">
        <v>122.354</v>
      </c>
      <c r="N19" s="5">
        <v>1055.759</v>
      </c>
      <c r="O19" s="5">
        <v>1041.27</v>
      </c>
      <c r="P19" s="5">
        <v>435.48099999999999</v>
      </c>
      <c r="Q19" s="5">
        <v>392.774</v>
      </c>
      <c r="R19" s="5">
        <v>0</v>
      </c>
      <c r="S19" s="5">
        <v>409.387</v>
      </c>
      <c r="T19" s="5">
        <v>485.25400000000002</v>
      </c>
      <c r="U19" s="5">
        <v>542.10500000000002</v>
      </c>
      <c r="V19" s="5">
        <v>1076.875</v>
      </c>
      <c r="W19" s="5">
        <v>408.017</v>
      </c>
      <c r="X19" s="5">
        <v>612.54999999999995</v>
      </c>
      <c r="Y19" s="5">
        <v>639.00800000000004</v>
      </c>
      <c r="Z19" s="5">
        <v>265.233</v>
      </c>
      <c r="AA19" s="5">
        <v>556.98199999999997</v>
      </c>
      <c r="AB19" s="5">
        <v>57.646999999999998</v>
      </c>
      <c r="AC19" s="5">
        <v>854.73299999999995</v>
      </c>
      <c r="AD19" s="5">
        <v>578</v>
      </c>
      <c r="AE19" s="5">
        <v>710.548</v>
      </c>
      <c r="AF19" s="5">
        <v>829.76499999999999</v>
      </c>
      <c r="AG19" s="5">
        <v>585.29499999999996</v>
      </c>
      <c r="AH19" s="5">
        <v>714.32899999999995</v>
      </c>
      <c r="AI19" s="5">
        <v>858.72500000000002</v>
      </c>
      <c r="AJ19" s="5">
        <v>489.096</v>
      </c>
      <c r="AK19" s="5"/>
      <c r="AL19" s="5"/>
      <c r="AM19" s="5"/>
      <c r="AN19" s="5"/>
      <c r="AO19" s="5"/>
      <c r="AP19" s="5"/>
      <c r="AQ19" s="5"/>
      <c r="AR19" s="5"/>
      <c r="AS19" s="5"/>
      <c r="AT19" s="5"/>
    </row>
    <row r="20" spans="1:46" x14ac:dyDescent="0.3">
      <c r="A20" s="5" t="s">
        <v>78</v>
      </c>
      <c r="B20" s="5">
        <v>9.2289999999999992</v>
      </c>
      <c r="C20" s="5">
        <v>925.60799999999995</v>
      </c>
      <c r="D20" s="5">
        <v>404.13799999999998</v>
      </c>
      <c r="E20" s="5">
        <v>339.452</v>
      </c>
      <c r="F20" s="5">
        <v>425.18599999999998</v>
      </c>
      <c r="G20" s="5">
        <v>561.45799999999997</v>
      </c>
      <c r="H20" s="5">
        <v>547.78</v>
      </c>
      <c r="I20" s="5">
        <v>491.02</v>
      </c>
      <c r="J20" s="5">
        <v>399.14499999999998</v>
      </c>
      <c r="K20" s="5">
        <v>455.31</v>
      </c>
      <c r="L20" s="5">
        <v>509.10500000000002</v>
      </c>
      <c r="M20" s="5">
        <v>464.45499999999998</v>
      </c>
      <c r="N20" s="5">
        <v>651.57899999999995</v>
      </c>
      <c r="O20" s="5">
        <v>637.09</v>
      </c>
      <c r="P20" s="5">
        <v>588.88800000000003</v>
      </c>
      <c r="Q20" s="5">
        <v>473.33100000000002</v>
      </c>
      <c r="R20" s="5">
        <v>408.59300000000002</v>
      </c>
      <c r="S20" s="5">
        <v>0</v>
      </c>
      <c r="T20" s="5">
        <v>118.19</v>
      </c>
      <c r="U20" s="5">
        <v>135.20099999999999</v>
      </c>
      <c r="V20" s="5">
        <v>672.69500000000005</v>
      </c>
      <c r="W20" s="5">
        <v>43.847999999999999</v>
      </c>
      <c r="X20" s="5">
        <v>205.64599999999999</v>
      </c>
      <c r="Y20" s="5">
        <v>232.10400000000001</v>
      </c>
      <c r="Z20" s="5">
        <v>644.41300000000001</v>
      </c>
      <c r="AA20" s="5">
        <v>734.70299999999997</v>
      </c>
      <c r="AB20" s="5">
        <v>362.52100000000002</v>
      </c>
      <c r="AC20" s="5">
        <v>673.39800000000002</v>
      </c>
      <c r="AD20" s="5">
        <v>396.66500000000002</v>
      </c>
      <c r="AE20" s="5">
        <v>529.21299999999997</v>
      </c>
      <c r="AF20" s="5">
        <v>648.42999999999995</v>
      </c>
      <c r="AG20" s="5">
        <v>738.702</v>
      </c>
      <c r="AH20" s="5">
        <v>576.34900000000005</v>
      </c>
      <c r="AI20" s="5">
        <v>779.84799999999996</v>
      </c>
      <c r="AJ20" s="5">
        <v>534.23400000000004</v>
      </c>
      <c r="AK20" s="5"/>
      <c r="AL20" s="5"/>
      <c r="AM20" s="5"/>
      <c r="AN20" s="5"/>
      <c r="AO20" s="5"/>
      <c r="AP20" s="5"/>
      <c r="AQ20" s="5"/>
      <c r="AR20" s="5"/>
      <c r="AS20" s="5"/>
      <c r="AT20" s="5"/>
    </row>
    <row r="21" spans="1:46" x14ac:dyDescent="0.3">
      <c r="A21" s="5" t="s">
        <v>81</v>
      </c>
      <c r="B21" s="5">
        <v>118.533</v>
      </c>
      <c r="C21" s="5">
        <v>838.42100000000005</v>
      </c>
      <c r="D21" s="5">
        <v>378.553</v>
      </c>
      <c r="E21" s="5">
        <v>313.86700000000002</v>
      </c>
      <c r="F21" s="5">
        <v>427.89600000000002</v>
      </c>
      <c r="G21" s="5">
        <v>631.58399999999995</v>
      </c>
      <c r="H21" s="5">
        <v>535.22500000000002</v>
      </c>
      <c r="I21" s="5">
        <v>419.11399999999998</v>
      </c>
      <c r="J21" s="5">
        <v>469.27100000000002</v>
      </c>
      <c r="K21" s="5">
        <v>465.41500000000002</v>
      </c>
      <c r="L21" s="5">
        <v>579.23099999999999</v>
      </c>
      <c r="M21" s="5">
        <v>534.58100000000002</v>
      </c>
      <c r="N21" s="5">
        <v>625.07399999999996</v>
      </c>
      <c r="O21" s="5">
        <v>610.58500000000004</v>
      </c>
      <c r="P21" s="5">
        <v>588.72400000000005</v>
      </c>
      <c r="Q21" s="5">
        <v>473.16699999999997</v>
      </c>
      <c r="R21" s="5">
        <v>478.71899999999999</v>
      </c>
      <c r="S21" s="5">
        <v>116.63</v>
      </c>
      <c r="T21" s="5">
        <v>0</v>
      </c>
      <c r="U21" s="5">
        <v>104.554</v>
      </c>
      <c r="V21" s="5">
        <v>646.19000000000005</v>
      </c>
      <c r="W21" s="5">
        <v>79.447999999999993</v>
      </c>
      <c r="X21" s="5">
        <v>254.75899999999999</v>
      </c>
      <c r="Y21" s="5">
        <v>205.59899999999999</v>
      </c>
      <c r="Z21" s="5">
        <v>714.53899999999999</v>
      </c>
      <c r="AA21" s="5">
        <v>734.53899999999999</v>
      </c>
      <c r="AB21" s="5">
        <v>432.64699999999999</v>
      </c>
      <c r="AC21" s="5">
        <v>586.21100000000001</v>
      </c>
      <c r="AD21" s="5">
        <v>309.47800000000001</v>
      </c>
      <c r="AE21" s="5">
        <v>442.02600000000001</v>
      </c>
      <c r="AF21" s="5">
        <v>561.24300000000005</v>
      </c>
      <c r="AG21" s="5">
        <v>738.53800000000001</v>
      </c>
      <c r="AH21" s="5">
        <v>489.16199999999998</v>
      </c>
      <c r="AI21" s="5">
        <v>692.66099999999994</v>
      </c>
      <c r="AJ21" s="5">
        <v>447.04700000000003</v>
      </c>
      <c r="AK21" s="5"/>
      <c r="AL21" s="5"/>
      <c r="AM21" s="5"/>
      <c r="AN21" s="5"/>
      <c r="AO21" s="5"/>
      <c r="AP21" s="5"/>
      <c r="AQ21" s="5"/>
      <c r="AR21" s="5"/>
      <c r="AS21" s="5"/>
      <c r="AT21" s="5"/>
    </row>
    <row r="22" spans="1:46" x14ac:dyDescent="0.3">
      <c r="A22" s="5" t="s">
        <v>84</v>
      </c>
      <c r="B22" s="5">
        <v>141.947</v>
      </c>
      <c r="C22" s="5">
        <v>961.47900000000004</v>
      </c>
      <c r="D22" s="5">
        <v>501.61099999999999</v>
      </c>
      <c r="E22" s="5">
        <v>436.92500000000001</v>
      </c>
      <c r="F22" s="5">
        <v>550.95399999999995</v>
      </c>
      <c r="G22" s="5">
        <v>693.654</v>
      </c>
      <c r="H22" s="5">
        <v>679.976</v>
      </c>
      <c r="I22" s="5">
        <v>542.17200000000003</v>
      </c>
      <c r="J22" s="5">
        <v>531.34100000000001</v>
      </c>
      <c r="K22" s="5">
        <v>588.47299999999996</v>
      </c>
      <c r="L22" s="5">
        <v>641.30100000000004</v>
      </c>
      <c r="M22" s="5">
        <v>596.65099999999995</v>
      </c>
      <c r="N22" s="5">
        <v>529.24900000000002</v>
      </c>
      <c r="O22" s="5">
        <v>514.76</v>
      </c>
      <c r="P22" s="5">
        <v>711.78200000000004</v>
      </c>
      <c r="Q22" s="5">
        <v>596.22500000000002</v>
      </c>
      <c r="R22" s="5">
        <v>540.78899999999999</v>
      </c>
      <c r="S22" s="5">
        <v>135.505</v>
      </c>
      <c r="T22" s="5">
        <v>104.797</v>
      </c>
      <c r="U22" s="5">
        <v>0</v>
      </c>
      <c r="V22" s="5">
        <v>550.36500000000001</v>
      </c>
      <c r="W22" s="5">
        <v>176.04400000000001</v>
      </c>
      <c r="X22" s="5">
        <v>248.83799999999999</v>
      </c>
      <c r="Y22" s="5">
        <v>109.774</v>
      </c>
      <c r="Z22" s="5">
        <v>776.60900000000004</v>
      </c>
      <c r="AA22" s="5">
        <v>857.59699999999998</v>
      </c>
      <c r="AB22" s="5">
        <v>494.71699999999998</v>
      </c>
      <c r="AC22" s="5">
        <v>709.26900000000001</v>
      </c>
      <c r="AD22" s="5">
        <v>432.536</v>
      </c>
      <c r="AE22" s="5">
        <v>565.08399999999995</v>
      </c>
      <c r="AF22" s="5">
        <v>630.47799999999995</v>
      </c>
      <c r="AG22" s="5">
        <v>861.596</v>
      </c>
      <c r="AH22" s="5">
        <v>612.22</v>
      </c>
      <c r="AI22" s="5">
        <v>815.71900000000005</v>
      </c>
      <c r="AJ22" s="5">
        <v>570.10500000000002</v>
      </c>
      <c r="AK22" s="5"/>
      <c r="AL22" s="5"/>
      <c r="AM22" s="5"/>
      <c r="AN22" s="5"/>
      <c r="AO22" s="5"/>
      <c r="AP22" s="5"/>
      <c r="AQ22" s="5"/>
      <c r="AR22" s="5"/>
      <c r="AS22" s="5"/>
      <c r="AT22" s="5"/>
    </row>
    <row r="23" spans="1:46" x14ac:dyDescent="0.3">
      <c r="A23" s="5" t="s">
        <v>87</v>
      </c>
      <c r="B23" s="5">
        <v>679.44100000000003</v>
      </c>
      <c r="C23" s="5">
        <v>814.678</v>
      </c>
      <c r="D23" s="5">
        <v>704.42200000000003</v>
      </c>
      <c r="E23" s="5">
        <v>702.01</v>
      </c>
      <c r="F23" s="5">
        <v>755.52499999999998</v>
      </c>
      <c r="G23" s="5">
        <v>1181.2819999999999</v>
      </c>
      <c r="H23" s="5">
        <v>859.40499999999997</v>
      </c>
      <c r="I23" s="5">
        <v>682.84500000000003</v>
      </c>
      <c r="J23" s="5">
        <v>940.59699999999998</v>
      </c>
      <c r="K23" s="5">
        <v>793.04399999999998</v>
      </c>
      <c r="L23" s="5">
        <v>1175.452</v>
      </c>
      <c r="M23" s="5">
        <v>1084.9059999999999</v>
      </c>
      <c r="N23" s="5">
        <v>24.347999999999999</v>
      </c>
      <c r="O23" s="5">
        <v>37.341000000000001</v>
      </c>
      <c r="P23" s="5">
        <v>809.52499999999998</v>
      </c>
      <c r="Q23" s="5">
        <v>800.79600000000005</v>
      </c>
      <c r="R23" s="5">
        <v>1074.94</v>
      </c>
      <c r="S23" s="5">
        <v>672.49099999999999</v>
      </c>
      <c r="T23" s="5">
        <v>646.47900000000004</v>
      </c>
      <c r="U23" s="5">
        <v>550.63599999999997</v>
      </c>
      <c r="V23" s="5">
        <v>0</v>
      </c>
      <c r="W23" s="5">
        <v>713.03</v>
      </c>
      <c r="X23" s="5">
        <v>630.38400000000001</v>
      </c>
      <c r="Y23" s="5">
        <v>445.245</v>
      </c>
      <c r="Z23" s="5">
        <v>1310.76</v>
      </c>
      <c r="AA23" s="5">
        <v>961.01099999999997</v>
      </c>
      <c r="AB23" s="5">
        <v>1031.703</v>
      </c>
      <c r="AC23" s="5">
        <v>434.95400000000001</v>
      </c>
      <c r="AD23" s="5">
        <v>503.375</v>
      </c>
      <c r="AE23" s="5">
        <v>367.57900000000001</v>
      </c>
      <c r="AF23" s="5">
        <v>326.48899999999998</v>
      </c>
      <c r="AG23" s="5">
        <v>839.35199999999998</v>
      </c>
      <c r="AH23" s="5">
        <v>470.28100000000001</v>
      </c>
      <c r="AI23" s="5">
        <v>668.91800000000001</v>
      </c>
      <c r="AJ23" s="5">
        <v>604.39099999999996</v>
      </c>
      <c r="AK23" s="5"/>
      <c r="AL23" s="5"/>
      <c r="AM23" s="5"/>
      <c r="AN23" s="5"/>
      <c r="AO23" s="5"/>
      <c r="AP23" s="5"/>
      <c r="AQ23" s="5"/>
      <c r="AR23" s="5"/>
      <c r="AS23" s="5"/>
      <c r="AT23" s="5"/>
    </row>
    <row r="24" spans="1:46" x14ac:dyDescent="0.3">
      <c r="A24" s="5" t="s">
        <v>90</v>
      </c>
      <c r="B24" s="5">
        <v>44.191000000000003</v>
      </c>
      <c r="C24" s="5">
        <v>887.18</v>
      </c>
      <c r="D24" s="5">
        <v>427.31200000000001</v>
      </c>
      <c r="E24" s="5">
        <v>362.62599999999998</v>
      </c>
      <c r="F24" s="5">
        <v>389.375</v>
      </c>
      <c r="G24" s="5">
        <v>554.80799999999999</v>
      </c>
      <c r="H24" s="5">
        <v>511.96899999999999</v>
      </c>
      <c r="I24" s="5">
        <v>467.87299999999999</v>
      </c>
      <c r="J24" s="5">
        <v>392.495</v>
      </c>
      <c r="K24" s="5">
        <v>419.49900000000002</v>
      </c>
      <c r="L24" s="5">
        <v>502.45499999999998</v>
      </c>
      <c r="M24" s="5">
        <v>457.80500000000001</v>
      </c>
      <c r="N24" s="5">
        <v>690.97400000000005</v>
      </c>
      <c r="O24" s="5">
        <v>676.48500000000001</v>
      </c>
      <c r="P24" s="5">
        <v>553.077</v>
      </c>
      <c r="Q24" s="5">
        <v>437.52</v>
      </c>
      <c r="R24" s="5">
        <v>401.94299999999998</v>
      </c>
      <c r="S24" s="5">
        <v>41.878</v>
      </c>
      <c r="T24" s="5">
        <v>79.762</v>
      </c>
      <c r="U24" s="5">
        <v>174.596</v>
      </c>
      <c r="V24" s="5">
        <v>712.09</v>
      </c>
      <c r="W24" s="5">
        <v>0</v>
      </c>
      <c r="X24" s="5">
        <v>245.041</v>
      </c>
      <c r="Y24" s="5">
        <v>271.49900000000002</v>
      </c>
      <c r="Z24" s="5">
        <v>637.76300000000003</v>
      </c>
      <c r="AA24" s="5">
        <v>698.89200000000005</v>
      </c>
      <c r="AB24" s="5">
        <v>355.87099999999998</v>
      </c>
      <c r="AC24" s="5">
        <v>634.97</v>
      </c>
      <c r="AD24" s="5">
        <v>358.23700000000002</v>
      </c>
      <c r="AE24" s="5">
        <v>490.78500000000003</v>
      </c>
      <c r="AF24" s="5">
        <v>610.00199999999995</v>
      </c>
      <c r="AG24" s="5">
        <v>702.89099999999996</v>
      </c>
      <c r="AH24" s="5">
        <v>537.92100000000005</v>
      </c>
      <c r="AI24" s="5">
        <v>741.42</v>
      </c>
      <c r="AJ24" s="5">
        <v>495.80599999999998</v>
      </c>
      <c r="AK24" s="5"/>
      <c r="AL24" s="5"/>
      <c r="AM24" s="5"/>
      <c r="AN24" s="5"/>
      <c r="AO24" s="5"/>
      <c r="AP24" s="5"/>
      <c r="AQ24" s="5"/>
      <c r="AR24" s="5"/>
      <c r="AS24" s="5"/>
      <c r="AT24" s="5"/>
    </row>
    <row r="25" spans="1:46" x14ac:dyDescent="0.3">
      <c r="A25" s="5" t="s">
        <v>93</v>
      </c>
      <c r="B25" s="5">
        <v>212.392</v>
      </c>
      <c r="C25" s="5">
        <v>1130.7760000000001</v>
      </c>
      <c r="D25" s="5">
        <v>609.30600000000004</v>
      </c>
      <c r="E25" s="5">
        <v>544.62</v>
      </c>
      <c r="F25" s="5">
        <v>630.35400000000004</v>
      </c>
      <c r="G25" s="5">
        <v>766.62599999999998</v>
      </c>
      <c r="H25" s="5">
        <v>752.94799999999998</v>
      </c>
      <c r="I25" s="5">
        <v>696.18799999999999</v>
      </c>
      <c r="J25" s="5">
        <v>604.31299999999999</v>
      </c>
      <c r="K25" s="5">
        <v>660.47799999999995</v>
      </c>
      <c r="L25" s="5">
        <v>714.27300000000002</v>
      </c>
      <c r="M25" s="5">
        <v>669.62300000000005</v>
      </c>
      <c r="N25" s="5">
        <v>610.19600000000003</v>
      </c>
      <c r="O25" s="5">
        <v>595.70699999999999</v>
      </c>
      <c r="P25" s="5">
        <v>794.05600000000004</v>
      </c>
      <c r="Q25" s="5">
        <v>678.49900000000002</v>
      </c>
      <c r="R25" s="5">
        <v>613.76099999999997</v>
      </c>
      <c r="S25" s="5">
        <v>208.477</v>
      </c>
      <c r="T25" s="5">
        <v>259.596</v>
      </c>
      <c r="U25" s="5">
        <v>203.214</v>
      </c>
      <c r="V25" s="5">
        <v>631.31200000000001</v>
      </c>
      <c r="W25" s="5">
        <v>249.01599999999999</v>
      </c>
      <c r="X25" s="5">
        <v>0</v>
      </c>
      <c r="Y25" s="5">
        <v>204.84399999999999</v>
      </c>
      <c r="Z25" s="5">
        <v>849.58100000000002</v>
      </c>
      <c r="AA25" s="5">
        <v>939.87099999999998</v>
      </c>
      <c r="AB25" s="5">
        <v>567.68899999999996</v>
      </c>
      <c r="AC25" s="5">
        <v>819.89</v>
      </c>
      <c r="AD25" s="5">
        <v>601.83299999999997</v>
      </c>
      <c r="AE25" s="5">
        <v>734.38099999999997</v>
      </c>
      <c r="AF25" s="5">
        <v>711.42499999999995</v>
      </c>
      <c r="AG25" s="5">
        <v>943.87</v>
      </c>
      <c r="AH25" s="5">
        <v>781.51700000000005</v>
      </c>
      <c r="AI25" s="5">
        <v>985.01599999999996</v>
      </c>
      <c r="AJ25" s="5">
        <v>739.40200000000004</v>
      </c>
      <c r="AK25" s="5"/>
      <c r="AL25" s="5"/>
      <c r="AM25" s="5"/>
      <c r="AN25" s="5"/>
      <c r="AO25" s="5"/>
      <c r="AP25" s="5"/>
      <c r="AQ25" s="5"/>
      <c r="AR25" s="5"/>
      <c r="AS25" s="5"/>
      <c r="AT25" s="5"/>
    </row>
    <row r="26" spans="1:46" x14ac:dyDescent="0.3">
      <c r="A26" s="5" t="s">
        <v>96</v>
      </c>
      <c r="B26" s="5">
        <v>238.85</v>
      </c>
      <c r="C26" s="5">
        <v>923.08299999999997</v>
      </c>
      <c r="D26" s="5">
        <v>463.21499999999997</v>
      </c>
      <c r="E26" s="5">
        <v>398.529</v>
      </c>
      <c r="F26" s="5">
        <v>512.55799999999999</v>
      </c>
      <c r="G26" s="5">
        <v>790.125</v>
      </c>
      <c r="H26" s="5">
        <v>619.88699999999994</v>
      </c>
      <c r="I26" s="5">
        <v>503.77600000000001</v>
      </c>
      <c r="J26" s="5">
        <v>627.81200000000001</v>
      </c>
      <c r="K26" s="5">
        <v>550.077</v>
      </c>
      <c r="L26" s="5">
        <v>737.77200000000005</v>
      </c>
      <c r="M26" s="5">
        <v>693.12199999999996</v>
      </c>
      <c r="N26" s="5">
        <v>424.80599999999998</v>
      </c>
      <c r="O26" s="5">
        <v>410.31700000000001</v>
      </c>
      <c r="P26" s="5">
        <v>673.38599999999997</v>
      </c>
      <c r="Q26" s="5">
        <v>557.82899999999995</v>
      </c>
      <c r="R26" s="5">
        <v>637.26</v>
      </c>
      <c r="S26" s="5">
        <v>231.976</v>
      </c>
      <c r="T26" s="5">
        <v>205.964</v>
      </c>
      <c r="U26" s="5">
        <v>110.121</v>
      </c>
      <c r="V26" s="5">
        <v>445.92200000000003</v>
      </c>
      <c r="W26" s="5">
        <v>272.51499999999999</v>
      </c>
      <c r="X26" s="5">
        <v>205.13499999999999</v>
      </c>
      <c r="Y26" s="5">
        <v>0</v>
      </c>
      <c r="Z26" s="5">
        <v>873.08</v>
      </c>
      <c r="AA26" s="5">
        <v>819.20100000000002</v>
      </c>
      <c r="AB26" s="5">
        <v>591.18799999999999</v>
      </c>
      <c r="AC26" s="5">
        <v>634.5</v>
      </c>
      <c r="AD26" s="5">
        <v>394.14</v>
      </c>
      <c r="AE26" s="5">
        <v>526.68799999999999</v>
      </c>
      <c r="AF26" s="5">
        <v>526.03499999999997</v>
      </c>
      <c r="AG26" s="5">
        <v>823.2</v>
      </c>
      <c r="AH26" s="5">
        <v>573.82399999999996</v>
      </c>
      <c r="AI26" s="5">
        <v>777.32299999999998</v>
      </c>
      <c r="AJ26" s="5">
        <v>531.70899999999995</v>
      </c>
      <c r="AK26" s="5"/>
      <c r="AL26" s="5"/>
      <c r="AM26" s="5"/>
      <c r="AN26" s="5"/>
      <c r="AO26" s="5"/>
      <c r="AP26" s="5"/>
      <c r="AQ26" s="5"/>
      <c r="AR26" s="5"/>
      <c r="AS26" s="5"/>
      <c r="AT26" s="5"/>
    </row>
    <row r="27" spans="1:46" x14ac:dyDescent="0.3">
      <c r="A27" s="5" t="s">
        <v>99</v>
      </c>
      <c r="B27" s="5">
        <v>641.13900000000001</v>
      </c>
      <c r="C27" s="5">
        <v>1086.441</v>
      </c>
      <c r="D27" s="5">
        <v>614.15700000000004</v>
      </c>
      <c r="E27" s="5">
        <v>607.75199999999995</v>
      </c>
      <c r="F27" s="5">
        <v>556.93299999999999</v>
      </c>
      <c r="G27" s="5">
        <v>148.18799999999999</v>
      </c>
      <c r="H27" s="5">
        <v>495.66500000000002</v>
      </c>
      <c r="I27" s="5">
        <v>645.14499999999998</v>
      </c>
      <c r="J27" s="5">
        <v>389.26600000000002</v>
      </c>
      <c r="K27" s="5">
        <v>574.28599999999994</v>
      </c>
      <c r="L27" s="5">
        <v>138.32300000000001</v>
      </c>
      <c r="M27" s="5">
        <v>235.27500000000001</v>
      </c>
      <c r="N27" s="5">
        <v>1290.6669999999999</v>
      </c>
      <c r="O27" s="5">
        <v>1276.1780000000001</v>
      </c>
      <c r="P27" s="5">
        <v>587.34100000000001</v>
      </c>
      <c r="Q27" s="5">
        <v>592.30700000000002</v>
      </c>
      <c r="R27" s="5">
        <v>265.61799999999999</v>
      </c>
      <c r="S27" s="5">
        <v>644.29499999999996</v>
      </c>
      <c r="T27" s="5">
        <v>720.16200000000003</v>
      </c>
      <c r="U27" s="5">
        <v>777.01300000000003</v>
      </c>
      <c r="V27" s="5">
        <v>1311.7829999999999</v>
      </c>
      <c r="W27" s="5">
        <v>642.92499999999995</v>
      </c>
      <c r="X27" s="5">
        <v>847.45799999999997</v>
      </c>
      <c r="Y27" s="5">
        <v>873.91600000000005</v>
      </c>
      <c r="Z27" s="5">
        <v>0</v>
      </c>
      <c r="AA27" s="5">
        <v>619.58199999999999</v>
      </c>
      <c r="AB27" s="5">
        <v>292.55500000000001</v>
      </c>
      <c r="AC27" s="5">
        <v>1089.6410000000001</v>
      </c>
      <c r="AD27" s="5">
        <v>812.90800000000002</v>
      </c>
      <c r="AE27" s="5">
        <v>945.45699999999999</v>
      </c>
      <c r="AF27" s="5">
        <v>1064.673</v>
      </c>
      <c r="AG27" s="5">
        <v>737.15499999999997</v>
      </c>
      <c r="AH27" s="5">
        <v>880.35199999999998</v>
      </c>
      <c r="AI27" s="5">
        <v>1024.748</v>
      </c>
      <c r="AJ27" s="5">
        <v>724.00400000000002</v>
      </c>
      <c r="AK27" s="5"/>
      <c r="AL27" s="5"/>
      <c r="AM27" s="5"/>
      <c r="AN27" s="5"/>
      <c r="AO27" s="5"/>
      <c r="AP27" s="5"/>
      <c r="AQ27" s="5"/>
      <c r="AR27" s="5"/>
      <c r="AS27" s="5"/>
      <c r="AT27" s="5"/>
    </row>
    <row r="28" spans="1:46" x14ac:dyDescent="0.3">
      <c r="A28" s="5" t="s">
        <v>102</v>
      </c>
      <c r="B28" s="5">
        <v>731.42899999999997</v>
      </c>
      <c r="C28" s="5">
        <v>544.75800000000004</v>
      </c>
      <c r="D28" s="5">
        <v>366.06</v>
      </c>
      <c r="E28" s="5">
        <v>429.67899999999997</v>
      </c>
      <c r="F28" s="5">
        <v>357.55399999999997</v>
      </c>
      <c r="G28" s="5">
        <v>484.69499999999999</v>
      </c>
      <c r="H28" s="5">
        <v>237.90100000000001</v>
      </c>
      <c r="I28" s="5">
        <v>397.048</v>
      </c>
      <c r="J28" s="5">
        <v>422.43700000000001</v>
      </c>
      <c r="K28" s="5">
        <v>286.63400000000001</v>
      </c>
      <c r="L28" s="5">
        <v>574.75199999999995</v>
      </c>
      <c r="M28" s="5">
        <v>439.81599999999997</v>
      </c>
      <c r="N28" s="5">
        <v>940.56100000000004</v>
      </c>
      <c r="O28" s="5">
        <v>926.072</v>
      </c>
      <c r="P28" s="5">
        <v>168.78700000000001</v>
      </c>
      <c r="Q28" s="5">
        <v>282.221</v>
      </c>
      <c r="R28" s="5">
        <v>556.78</v>
      </c>
      <c r="S28" s="5">
        <v>734.49300000000005</v>
      </c>
      <c r="T28" s="5">
        <v>736.35</v>
      </c>
      <c r="U28" s="5">
        <v>867.21100000000001</v>
      </c>
      <c r="V28" s="5">
        <v>961.67700000000002</v>
      </c>
      <c r="W28" s="5">
        <v>699.625</v>
      </c>
      <c r="X28" s="5">
        <v>937.65599999999995</v>
      </c>
      <c r="Y28" s="5">
        <v>821.01099999999997</v>
      </c>
      <c r="Z28" s="5">
        <v>619.44299999999998</v>
      </c>
      <c r="AA28" s="5">
        <v>0</v>
      </c>
      <c r="AB28" s="5">
        <v>519.90700000000004</v>
      </c>
      <c r="AC28" s="5">
        <v>699.88300000000004</v>
      </c>
      <c r="AD28" s="5">
        <v>564.81100000000004</v>
      </c>
      <c r="AE28" s="5">
        <v>679.89599999999996</v>
      </c>
      <c r="AF28" s="5">
        <v>715.46</v>
      </c>
      <c r="AG28" s="5">
        <v>194.74600000000001</v>
      </c>
      <c r="AH28" s="5">
        <v>493.31099999999998</v>
      </c>
      <c r="AI28" s="5">
        <v>625.76400000000001</v>
      </c>
      <c r="AJ28" s="5">
        <v>397.41199999999998</v>
      </c>
      <c r="AK28" s="5"/>
      <c r="AL28" s="5"/>
      <c r="AM28" s="5"/>
      <c r="AN28" s="5"/>
      <c r="AO28" s="5"/>
      <c r="AP28" s="5"/>
      <c r="AQ28" s="5"/>
      <c r="AR28" s="5"/>
      <c r="AS28" s="5"/>
      <c r="AT28" s="5"/>
    </row>
    <row r="29" spans="1:46" x14ac:dyDescent="0.3">
      <c r="A29" s="5" t="s">
        <v>105</v>
      </c>
      <c r="B29" s="5">
        <v>359.24700000000001</v>
      </c>
      <c r="C29" s="5">
        <v>896.98599999999999</v>
      </c>
      <c r="D29" s="5">
        <v>341.654</v>
      </c>
      <c r="E29" s="5">
        <v>335.24900000000002</v>
      </c>
      <c r="F29" s="5">
        <v>306.80799999999999</v>
      </c>
      <c r="G29" s="5">
        <v>215.083</v>
      </c>
      <c r="H29" s="5">
        <v>306.20999999999998</v>
      </c>
      <c r="I29" s="5">
        <v>372.642</v>
      </c>
      <c r="J29" s="5">
        <v>116.76300000000001</v>
      </c>
      <c r="K29" s="5">
        <v>337.15800000000002</v>
      </c>
      <c r="L29" s="5">
        <v>157.25200000000001</v>
      </c>
      <c r="M29" s="5">
        <v>118.08</v>
      </c>
      <c r="N29" s="5">
        <v>1011.538</v>
      </c>
      <c r="O29" s="5">
        <v>997.04899999999998</v>
      </c>
      <c r="P29" s="5">
        <v>397.88600000000002</v>
      </c>
      <c r="Q29" s="5">
        <v>355.17899999999997</v>
      </c>
      <c r="R29" s="5">
        <v>56.74</v>
      </c>
      <c r="S29" s="5">
        <v>362.44200000000001</v>
      </c>
      <c r="T29" s="5">
        <v>438.30900000000003</v>
      </c>
      <c r="U29" s="5">
        <v>495.16</v>
      </c>
      <c r="V29" s="5">
        <v>1032.654</v>
      </c>
      <c r="W29" s="5">
        <v>361.072</v>
      </c>
      <c r="X29" s="5">
        <v>565.60500000000002</v>
      </c>
      <c r="Y29" s="5">
        <v>592.06299999999999</v>
      </c>
      <c r="Z29" s="5">
        <v>292.56</v>
      </c>
      <c r="AA29" s="5">
        <v>519.38699999999994</v>
      </c>
      <c r="AB29" s="5">
        <v>0</v>
      </c>
      <c r="AC29" s="5">
        <v>817.13800000000003</v>
      </c>
      <c r="AD29" s="5">
        <v>540.40499999999997</v>
      </c>
      <c r="AE29" s="5">
        <v>672.95299999999997</v>
      </c>
      <c r="AF29" s="5">
        <v>792.17</v>
      </c>
      <c r="AG29" s="5">
        <v>547.70000000000005</v>
      </c>
      <c r="AH29" s="5">
        <v>676.73400000000004</v>
      </c>
      <c r="AI29" s="5">
        <v>821.13</v>
      </c>
      <c r="AJ29" s="5">
        <v>451.50099999999998</v>
      </c>
      <c r="AK29" s="5"/>
      <c r="AL29" s="5"/>
      <c r="AM29" s="5"/>
      <c r="AN29" s="5"/>
      <c r="AO29" s="5"/>
      <c r="AP29" s="5"/>
      <c r="AQ29" s="5"/>
      <c r="AR29" s="5"/>
      <c r="AS29" s="5"/>
      <c r="AT29" s="5"/>
    </row>
    <row r="30" spans="1:46" x14ac:dyDescent="0.3">
      <c r="A30" s="5" t="s">
        <v>108</v>
      </c>
      <c r="B30" s="5">
        <v>673.74099999999999</v>
      </c>
      <c r="C30" s="5">
        <v>427.97500000000002</v>
      </c>
      <c r="D30" s="5">
        <v>484.68599999999998</v>
      </c>
      <c r="E30" s="5">
        <v>482.274</v>
      </c>
      <c r="F30" s="5">
        <v>535.78899999999999</v>
      </c>
      <c r="G30" s="5">
        <v>950.2</v>
      </c>
      <c r="H30" s="5">
        <v>597.49300000000005</v>
      </c>
      <c r="I30" s="5">
        <v>463.10899999999998</v>
      </c>
      <c r="J30" s="5">
        <v>720.86099999999999</v>
      </c>
      <c r="K30" s="5">
        <v>551.14400000000001</v>
      </c>
      <c r="L30" s="5">
        <v>955.71600000000001</v>
      </c>
      <c r="M30" s="5">
        <v>853.82399999999996</v>
      </c>
      <c r="N30" s="5">
        <v>414.27800000000002</v>
      </c>
      <c r="O30" s="5">
        <v>399.78899999999999</v>
      </c>
      <c r="P30" s="5">
        <v>547.61300000000006</v>
      </c>
      <c r="Q30" s="5">
        <v>546.73099999999999</v>
      </c>
      <c r="R30" s="5">
        <v>855.20399999999995</v>
      </c>
      <c r="S30" s="5">
        <v>672.92399999999998</v>
      </c>
      <c r="T30" s="5">
        <v>586.76499999999999</v>
      </c>
      <c r="U30" s="5">
        <v>711.00099999999998</v>
      </c>
      <c r="V30" s="5">
        <v>435.39400000000001</v>
      </c>
      <c r="W30" s="5">
        <v>635.74199999999996</v>
      </c>
      <c r="X30" s="5">
        <v>819.80399999999997</v>
      </c>
      <c r="Y30" s="5">
        <v>634.66499999999996</v>
      </c>
      <c r="Z30" s="5">
        <v>1084.9480000000001</v>
      </c>
      <c r="AA30" s="5">
        <v>699.09900000000005</v>
      </c>
      <c r="AB30" s="5">
        <v>818.33100000000002</v>
      </c>
      <c r="AC30" s="5">
        <v>0</v>
      </c>
      <c r="AD30" s="5">
        <v>283.63900000000001</v>
      </c>
      <c r="AE30" s="5">
        <v>168.15700000000001</v>
      </c>
      <c r="AF30" s="5">
        <v>114.416</v>
      </c>
      <c r="AG30" s="5">
        <v>561.35199999999998</v>
      </c>
      <c r="AH30" s="5">
        <v>208.369</v>
      </c>
      <c r="AI30" s="5">
        <v>310.05900000000003</v>
      </c>
      <c r="AJ30" s="5">
        <v>349.88200000000001</v>
      </c>
      <c r="AK30" s="5"/>
      <c r="AL30" s="5"/>
      <c r="AM30" s="5"/>
      <c r="AN30" s="5"/>
      <c r="AO30" s="5"/>
      <c r="AP30" s="5"/>
      <c r="AQ30" s="5"/>
      <c r="AR30" s="5"/>
      <c r="AS30" s="5"/>
      <c r="AT30" s="5"/>
    </row>
    <row r="31" spans="1:46" x14ac:dyDescent="0.3">
      <c r="A31" s="5" t="s">
        <v>111</v>
      </c>
      <c r="B31" s="5">
        <v>397.00799999999998</v>
      </c>
      <c r="C31" s="5">
        <v>606.99400000000003</v>
      </c>
      <c r="D31" s="5">
        <v>205.04900000000001</v>
      </c>
      <c r="E31" s="5">
        <v>202.637</v>
      </c>
      <c r="F31" s="5">
        <v>256.15199999999999</v>
      </c>
      <c r="G31" s="5">
        <v>681.90899999999999</v>
      </c>
      <c r="H31" s="5">
        <v>363.48099999999999</v>
      </c>
      <c r="I31" s="5">
        <v>183.47200000000001</v>
      </c>
      <c r="J31" s="5">
        <v>441.22399999999999</v>
      </c>
      <c r="K31" s="5">
        <v>293.67099999999999</v>
      </c>
      <c r="L31" s="5">
        <v>676.07899999999995</v>
      </c>
      <c r="M31" s="5">
        <v>585.53300000000002</v>
      </c>
      <c r="N31" s="5">
        <v>482.899</v>
      </c>
      <c r="O31" s="5">
        <v>468.41</v>
      </c>
      <c r="P31" s="5">
        <v>416.98</v>
      </c>
      <c r="Q31" s="5">
        <v>301.423</v>
      </c>
      <c r="R31" s="5">
        <v>575.56700000000001</v>
      </c>
      <c r="S31" s="5">
        <v>393.28699999999998</v>
      </c>
      <c r="T31" s="5">
        <v>307.12799999999999</v>
      </c>
      <c r="U31" s="5">
        <v>431.36399999999998</v>
      </c>
      <c r="V31" s="5">
        <v>504.01499999999999</v>
      </c>
      <c r="W31" s="5">
        <v>356.10500000000002</v>
      </c>
      <c r="X31" s="5">
        <v>596.45000000000005</v>
      </c>
      <c r="Y31" s="5">
        <v>391.78899999999999</v>
      </c>
      <c r="Z31" s="5">
        <v>811.38699999999994</v>
      </c>
      <c r="AA31" s="5">
        <v>562.79499999999996</v>
      </c>
      <c r="AB31" s="5">
        <v>538.69399999999996</v>
      </c>
      <c r="AC31" s="5">
        <v>281.87299999999999</v>
      </c>
      <c r="AD31" s="5">
        <v>0</v>
      </c>
      <c r="AE31" s="5">
        <v>137.68799999999999</v>
      </c>
      <c r="AF31" s="5">
        <v>256.90499999999997</v>
      </c>
      <c r="AG31" s="5">
        <v>566.79399999999998</v>
      </c>
      <c r="AH31" s="5">
        <v>260.01600000000002</v>
      </c>
      <c r="AI31" s="5">
        <v>461.23399999999998</v>
      </c>
      <c r="AJ31" s="5">
        <v>179.21299999999999</v>
      </c>
      <c r="AK31" s="5"/>
      <c r="AL31" s="5"/>
      <c r="AM31" s="5"/>
      <c r="AN31" s="5"/>
      <c r="AO31" s="5"/>
      <c r="AP31" s="5"/>
      <c r="AQ31" s="5"/>
      <c r="AR31" s="5"/>
      <c r="AS31" s="5"/>
      <c r="AT31" s="5"/>
    </row>
    <row r="32" spans="1:46" x14ac:dyDescent="0.3">
      <c r="A32" s="5" t="s">
        <v>114</v>
      </c>
      <c r="B32" s="5">
        <v>529.55600000000004</v>
      </c>
      <c r="C32" s="5">
        <v>532.74199999999996</v>
      </c>
      <c r="D32" s="5">
        <v>338.93900000000002</v>
      </c>
      <c r="E32" s="5">
        <v>336.52699999999999</v>
      </c>
      <c r="F32" s="5">
        <v>390.04199999999997</v>
      </c>
      <c r="G32" s="5">
        <v>815.8</v>
      </c>
      <c r="H32" s="5">
        <v>497.37099999999998</v>
      </c>
      <c r="I32" s="5">
        <v>317.36200000000002</v>
      </c>
      <c r="J32" s="5">
        <v>575.11500000000001</v>
      </c>
      <c r="K32" s="5">
        <v>427.56099999999998</v>
      </c>
      <c r="L32" s="5">
        <v>809.97</v>
      </c>
      <c r="M32" s="5">
        <v>719.42399999999998</v>
      </c>
      <c r="N32" s="5">
        <v>347.43599999999998</v>
      </c>
      <c r="O32" s="5">
        <v>332.947</v>
      </c>
      <c r="P32" s="5">
        <v>527.58900000000006</v>
      </c>
      <c r="Q32" s="5">
        <v>435.31299999999999</v>
      </c>
      <c r="R32" s="5">
        <v>709.45799999999997</v>
      </c>
      <c r="S32" s="5">
        <v>527.178</v>
      </c>
      <c r="T32" s="5">
        <v>441.01799999999997</v>
      </c>
      <c r="U32" s="5">
        <v>565.255</v>
      </c>
      <c r="V32" s="5">
        <v>368.55200000000002</v>
      </c>
      <c r="W32" s="5">
        <v>489.995</v>
      </c>
      <c r="X32" s="5">
        <v>730.34100000000001</v>
      </c>
      <c r="Y32" s="5">
        <v>525.67999999999995</v>
      </c>
      <c r="Z32" s="5">
        <v>945.27800000000002</v>
      </c>
      <c r="AA32" s="5">
        <v>679.07500000000005</v>
      </c>
      <c r="AB32" s="5">
        <v>672.58500000000004</v>
      </c>
      <c r="AC32" s="5">
        <v>168.38200000000001</v>
      </c>
      <c r="AD32" s="5">
        <v>137.892</v>
      </c>
      <c r="AE32" s="5">
        <v>0</v>
      </c>
      <c r="AF32" s="5">
        <v>143.41399999999999</v>
      </c>
      <c r="AG32" s="5">
        <v>557.41600000000005</v>
      </c>
      <c r="AH32" s="5">
        <v>188.34399999999999</v>
      </c>
      <c r="AI32" s="5">
        <v>386.98099999999999</v>
      </c>
      <c r="AJ32" s="5">
        <v>239.97399999999999</v>
      </c>
      <c r="AK32" s="5"/>
      <c r="AL32" s="5"/>
      <c r="AM32" s="5"/>
      <c r="AN32" s="5"/>
      <c r="AO32" s="5"/>
      <c r="AP32" s="5"/>
      <c r="AQ32" s="5"/>
      <c r="AR32" s="5"/>
      <c r="AS32" s="5"/>
      <c r="AT32" s="5"/>
    </row>
    <row r="33" spans="1:46" x14ac:dyDescent="0.3">
      <c r="A33" s="5" t="s">
        <v>117</v>
      </c>
      <c r="B33" s="5">
        <v>648.77300000000002</v>
      </c>
      <c r="C33" s="5">
        <v>543.40599999999995</v>
      </c>
      <c r="D33" s="5">
        <v>457.68700000000001</v>
      </c>
      <c r="E33" s="5">
        <v>455.27499999999998</v>
      </c>
      <c r="F33" s="5">
        <v>508.79</v>
      </c>
      <c r="G33" s="5">
        <v>934.54700000000003</v>
      </c>
      <c r="H33" s="5">
        <v>613.01099999999997</v>
      </c>
      <c r="I33" s="5">
        <v>436.11</v>
      </c>
      <c r="J33" s="5">
        <v>693.86199999999997</v>
      </c>
      <c r="K33" s="5">
        <v>546.30899999999997</v>
      </c>
      <c r="L33" s="5">
        <v>928.71699999999998</v>
      </c>
      <c r="M33" s="5">
        <v>838.17100000000005</v>
      </c>
      <c r="N33" s="5">
        <v>307.76600000000002</v>
      </c>
      <c r="O33" s="5">
        <v>293.27699999999999</v>
      </c>
      <c r="P33" s="5">
        <v>563.13099999999997</v>
      </c>
      <c r="Q33" s="5">
        <v>562.24900000000002</v>
      </c>
      <c r="R33" s="5">
        <v>828.20500000000004</v>
      </c>
      <c r="S33" s="5">
        <v>645.92499999999995</v>
      </c>
      <c r="T33" s="5">
        <v>559.76599999999996</v>
      </c>
      <c r="U33" s="5">
        <v>633.54399999999998</v>
      </c>
      <c r="V33" s="5">
        <v>328.88200000000001</v>
      </c>
      <c r="W33" s="5">
        <v>608.74300000000005</v>
      </c>
      <c r="X33" s="5">
        <v>713.29200000000003</v>
      </c>
      <c r="Y33" s="5">
        <v>528.15300000000002</v>
      </c>
      <c r="Z33" s="5">
        <v>1064.0250000000001</v>
      </c>
      <c r="AA33" s="5">
        <v>714.61699999999996</v>
      </c>
      <c r="AB33" s="5">
        <v>791.33199999999999</v>
      </c>
      <c r="AC33" s="5">
        <v>107.30500000000001</v>
      </c>
      <c r="AD33" s="5">
        <v>256.64</v>
      </c>
      <c r="AE33" s="5">
        <v>141.15799999999999</v>
      </c>
      <c r="AF33" s="5">
        <v>0</v>
      </c>
      <c r="AG33" s="5">
        <v>592.95799999999997</v>
      </c>
      <c r="AH33" s="5">
        <v>223.887</v>
      </c>
      <c r="AI33" s="5">
        <v>397.64600000000002</v>
      </c>
      <c r="AJ33" s="5">
        <v>357.99700000000001</v>
      </c>
      <c r="AK33" s="5"/>
      <c r="AL33" s="5"/>
      <c r="AM33" s="5"/>
      <c r="AN33" s="5"/>
      <c r="AO33" s="5"/>
      <c r="AP33" s="5"/>
      <c r="AQ33" s="5"/>
      <c r="AR33" s="5"/>
      <c r="AS33" s="5"/>
      <c r="AT33" s="5"/>
    </row>
    <row r="34" spans="1:46" x14ac:dyDescent="0.3">
      <c r="A34" s="5" t="s">
        <v>7</v>
      </c>
      <c r="B34" s="5">
        <v>735.428</v>
      </c>
      <c r="C34" s="5">
        <v>378.101</v>
      </c>
      <c r="D34" s="5">
        <v>369.18</v>
      </c>
      <c r="E34" s="5">
        <v>432.79899999999998</v>
      </c>
      <c r="F34" s="5">
        <v>360.67399999999998</v>
      </c>
      <c r="G34" s="5">
        <v>602.41899999999998</v>
      </c>
      <c r="H34" s="5">
        <v>249.71199999999999</v>
      </c>
      <c r="I34" s="5">
        <v>400.16800000000001</v>
      </c>
      <c r="J34" s="5">
        <v>450.46800000000002</v>
      </c>
      <c r="K34" s="5">
        <v>289.75400000000002</v>
      </c>
      <c r="L34" s="5">
        <v>640.97900000000004</v>
      </c>
      <c r="M34" s="5">
        <v>506.04300000000001</v>
      </c>
      <c r="N34" s="5">
        <v>818.11599999999999</v>
      </c>
      <c r="O34" s="5">
        <v>803.62699999999995</v>
      </c>
      <c r="P34" s="5">
        <v>162.732</v>
      </c>
      <c r="Q34" s="5">
        <v>285.34100000000001</v>
      </c>
      <c r="R34" s="5">
        <v>584.81100000000004</v>
      </c>
      <c r="S34" s="5">
        <v>737.61300000000006</v>
      </c>
      <c r="T34" s="5">
        <v>739.47</v>
      </c>
      <c r="U34" s="5">
        <v>870.33100000000002</v>
      </c>
      <c r="V34" s="5">
        <v>839.23199999999997</v>
      </c>
      <c r="W34" s="5">
        <v>702.745</v>
      </c>
      <c r="X34" s="5">
        <v>940.77599999999995</v>
      </c>
      <c r="Y34" s="5">
        <v>824.13099999999997</v>
      </c>
      <c r="Z34" s="5">
        <v>737.16700000000003</v>
      </c>
      <c r="AA34" s="5">
        <v>196.251</v>
      </c>
      <c r="AB34" s="5">
        <v>547.93799999999999</v>
      </c>
      <c r="AC34" s="5">
        <v>560.60199999999998</v>
      </c>
      <c r="AD34" s="5">
        <v>567.93100000000004</v>
      </c>
      <c r="AE34" s="5">
        <v>557.45100000000002</v>
      </c>
      <c r="AF34" s="5">
        <v>593.01499999999999</v>
      </c>
      <c r="AG34" s="5">
        <v>0</v>
      </c>
      <c r="AH34" s="5">
        <v>370.86599999999999</v>
      </c>
      <c r="AI34" s="5">
        <v>383.22699999999998</v>
      </c>
      <c r="AJ34" s="5">
        <v>384.524</v>
      </c>
      <c r="AK34" s="5"/>
      <c r="AL34" s="5"/>
      <c r="AM34" s="5"/>
      <c r="AN34" s="5"/>
      <c r="AO34" s="5"/>
      <c r="AP34" s="5"/>
      <c r="AQ34" s="5"/>
      <c r="AR34" s="5"/>
      <c r="AS34" s="5"/>
      <c r="AT34" s="5"/>
    </row>
    <row r="35" spans="1:46" x14ac:dyDescent="0.3">
      <c r="A35" s="5" t="s">
        <v>122</v>
      </c>
      <c r="B35" s="5">
        <v>576.69200000000001</v>
      </c>
      <c r="C35" s="5">
        <v>349.678</v>
      </c>
      <c r="D35" s="5">
        <v>315.166</v>
      </c>
      <c r="E35" s="5">
        <v>312.75400000000002</v>
      </c>
      <c r="F35" s="5">
        <v>416.39499999999998</v>
      </c>
      <c r="G35" s="5">
        <v>744.53099999999995</v>
      </c>
      <c r="H35" s="5">
        <v>391.82400000000001</v>
      </c>
      <c r="I35" s="5">
        <v>243.06700000000001</v>
      </c>
      <c r="J35" s="5">
        <v>579.25800000000004</v>
      </c>
      <c r="K35" s="5">
        <v>345.47500000000002</v>
      </c>
      <c r="L35" s="5">
        <v>783.09100000000001</v>
      </c>
      <c r="M35" s="5">
        <v>648.15499999999997</v>
      </c>
      <c r="N35" s="5">
        <v>449.31400000000002</v>
      </c>
      <c r="O35" s="5">
        <v>434.82499999999999</v>
      </c>
      <c r="P35" s="5">
        <v>341.94400000000002</v>
      </c>
      <c r="Q35" s="5">
        <v>341.06200000000001</v>
      </c>
      <c r="R35" s="5">
        <v>713.601</v>
      </c>
      <c r="S35" s="5">
        <v>575.49900000000002</v>
      </c>
      <c r="T35" s="5">
        <v>489.34</v>
      </c>
      <c r="U35" s="5">
        <v>613.57600000000002</v>
      </c>
      <c r="V35" s="5">
        <v>470.43</v>
      </c>
      <c r="W35" s="5">
        <v>538.31700000000001</v>
      </c>
      <c r="X35" s="5">
        <v>778.66200000000003</v>
      </c>
      <c r="Y35" s="5">
        <v>574.00099999999998</v>
      </c>
      <c r="Z35" s="5">
        <v>879.279</v>
      </c>
      <c r="AA35" s="5">
        <v>493.43</v>
      </c>
      <c r="AB35" s="5">
        <v>676.72799999999995</v>
      </c>
      <c r="AC35" s="5">
        <v>208.636</v>
      </c>
      <c r="AD35" s="5">
        <v>261.50799999999998</v>
      </c>
      <c r="AE35" s="5">
        <v>188.649</v>
      </c>
      <c r="AF35" s="5">
        <v>224.21299999999999</v>
      </c>
      <c r="AG35" s="5">
        <v>371.77100000000002</v>
      </c>
      <c r="AH35" s="5">
        <v>0</v>
      </c>
      <c r="AI35" s="5">
        <v>203.91800000000001</v>
      </c>
      <c r="AJ35" s="5">
        <v>157.952</v>
      </c>
      <c r="AK35" s="5"/>
      <c r="AL35" s="5"/>
      <c r="AM35" s="5"/>
      <c r="AN35" s="5"/>
      <c r="AO35" s="5"/>
      <c r="AP35" s="5"/>
      <c r="AQ35" s="5"/>
      <c r="AR35" s="5"/>
      <c r="AS35" s="5"/>
      <c r="AT35" s="5"/>
    </row>
    <row r="36" spans="1:46" x14ac:dyDescent="0.3">
      <c r="A36" s="5" t="s">
        <v>125</v>
      </c>
      <c r="B36" s="5">
        <v>780.19100000000003</v>
      </c>
      <c r="C36" s="5">
        <v>148.92500000000001</v>
      </c>
      <c r="D36" s="5">
        <v>569.15899999999999</v>
      </c>
      <c r="E36" s="5">
        <v>514.83699999999999</v>
      </c>
      <c r="F36" s="5">
        <v>560.65300000000002</v>
      </c>
      <c r="G36" s="5">
        <v>888.78899999999999</v>
      </c>
      <c r="H36" s="5">
        <v>536.08199999999999</v>
      </c>
      <c r="I36" s="5">
        <v>415.27300000000002</v>
      </c>
      <c r="J36" s="5">
        <v>723.51599999999996</v>
      </c>
      <c r="K36" s="5">
        <v>489.733</v>
      </c>
      <c r="L36" s="5">
        <v>927.34900000000005</v>
      </c>
      <c r="M36" s="5">
        <v>792.41300000000001</v>
      </c>
      <c r="N36" s="5">
        <v>647.07600000000002</v>
      </c>
      <c r="O36" s="5">
        <v>632.58699999999999</v>
      </c>
      <c r="P36" s="5">
        <v>486.202</v>
      </c>
      <c r="Q36" s="5">
        <v>485.32</v>
      </c>
      <c r="R36" s="5">
        <v>857.85900000000004</v>
      </c>
      <c r="S36" s="5">
        <v>777.58199999999999</v>
      </c>
      <c r="T36" s="5">
        <v>691.423</v>
      </c>
      <c r="U36" s="5">
        <v>815.65899999999999</v>
      </c>
      <c r="V36" s="5">
        <v>668.19200000000001</v>
      </c>
      <c r="W36" s="5">
        <v>740.4</v>
      </c>
      <c r="X36" s="5">
        <v>980.745</v>
      </c>
      <c r="Y36" s="5">
        <v>776.08399999999995</v>
      </c>
      <c r="Z36" s="5">
        <v>1023.537</v>
      </c>
      <c r="AA36" s="5">
        <v>627.601</v>
      </c>
      <c r="AB36" s="5">
        <v>820.98599999999999</v>
      </c>
      <c r="AC36" s="5">
        <v>274.07600000000002</v>
      </c>
      <c r="AD36" s="5">
        <v>462.58600000000001</v>
      </c>
      <c r="AE36" s="5">
        <v>386.411</v>
      </c>
      <c r="AF36" s="5">
        <v>396.935</v>
      </c>
      <c r="AG36" s="5">
        <v>382.81900000000002</v>
      </c>
      <c r="AH36" s="5">
        <v>203.142</v>
      </c>
      <c r="AI36" s="5">
        <v>0</v>
      </c>
      <c r="AJ36" s="5">
        <v>328.012</v>
      </c>
      <c r="AK36" s="5"/>
      <c r="AL36" s="5"/>
      <c r="AM36" s="5"/>
      <c r="AN36" s="5"/>
      <c r="AO36" s="5"/>
      <c r="AP36" s="5"/>
      <c r="AQ36" s="5"/>
      <c r="AR36" s="5"/>
      <c r="AS36" s="5"/>
      <c r="AT36" s="5"/>
    </row>
    <row r="37" spans="1:46" x14ac:dyDescent="0.3">
      <c r="A37" s="5" t="s">
        <v>128</v>
      </c>
      <c r="B37" s="5">
        <v>534.577</v>
      </c>
      <c r="C37" s="5">
        <v>473.96600000000001</v>
      </c>
      <c r="D37" s="5">
        <v>116.782</v>
      </c>
      <c r="E37" s="5">
        <v>190.59800000000001</v>
      </c>
      <c r="F37" s="5">
        <v>167.88499999999999</v>
      </c>
      <c r="G37" s="5">
        <v>593.64200000000005</v>
      </c>
      <c r="H37" s="5">
        <v>264.97800000000001</v>
      </c>
      <c r="I37" s="5">
        <v>77.162000000000006</v>
      </c>
      <c r="J37" s="5">
        <v>352.95699999999999</v>
      </c>
      <c r="K37" s="5">
        <v>226.749</v>
      </c>
      <c r="L37" s="5">
        <v>587.81200000000001</v>
      </c>
      <c r="M37" s="5">
        <v>497.26600000000002</v>
      </c>
      <c r="N37" s="5">
        <v>581.75</v>
      </c>
      <c r="O37" s="5">
        <v>567.26099999999997</v>
      </c>
      <c r="P37" s="5">
        <v>245.61600000000001</v>
      </c>
      <c r="Q37" s="5">
        <v>191.07499999999999</v>
      </c>
      <c r="R37" s="5">
        <v>487.3</v>
      </c>
      <c r="S37" s="5">
        <v>532.13800000000003</v>
      </c>
      <c r="T37" s="5">
        <v>445.97899999999998</v>
      </c>
      <c r="U37" s="5">
        <v>570.21500000000003</v>
      </c>
      <c r="V37" s="5">
        <v>602.86599999999999</v>
      </c>
      <c r="W37" s="5">
        <v>494.95600000000002</v>
      </c>
      <c r="X37" s="5">
        <v>735.30100000000004</v>
      </c>
      <c r="Y37" s="5">
        <v>530.64</v>
      </c>
      <c r="Z37" s="5">
        <v>723.12</v>
      </c>
      <c r="AA37" s="5">
        <v>397.10199999999998</v>
      </c>
      <c r="AB37" s="5">
        <v>450.42700000000002</v>
      </c>
      <c r="AC37" s="5">
        <v>349.49200000000002</v>
      </c>
      <c r="AD37" s="5">
        <v>179.476</v>
      </c>
      <c r="AE37" s="5">
        <v>237.92699999999999</v>
      </c>
      <c r="AF37" s="5">
        <v>356.649</v>
      </c>
      <c r="AG37" s="5">
        <v>384.43400000000003</v>
      </c>
      <c r="AH37" s="5">
        <v>157.88900000000001</v>
      </c>
      <c r="AI37" s="5">
        <v>328.20600000000002</v>
      </c>
      <c r="AJ37" s="5">
        <v>0</v>
      </c>
      <c r="AK37" s="5"/>
      <c r="AL37" s="5"/>
      <c r="AM37" s="5"/>
      <c r="AN37" s="5"/>
      <c r="AO37" s="5"/>
      <c r="AP37" s="5"/>
      <c r="AQ37" s="5"/>
      <c r="AR37" s="5"/>
      <c r="AS37" s="5"/>
      <c r="AT37" s="5"/>
    </row>
    <row r="38" spans="1:46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</row>
    <row r="39" spans="1:46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</row>
    <row r="40" spans="1:4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</row>
    <row r="41" spans="1:46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</row>
    <row r="42" spans="1:46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</row>
    <row r="43" spans="1:46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</row>
    <row r="44" spans="1:46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</row>
    <row r="45" spans="1:46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</row>
    <row r="46" spans="1:46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</row>
    <row r="47" spans="1:46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5EA-D9A3-4850-A3D7-E90A3E367D84}">
  <sheetPr codeName="Feuil8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32" t="s">
        <v>1437</v>
      </c>
      <c r="B2" t="s">
        <v>278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C9022-DFBA-49CB-9BA0-BAFCB496565C}">
  <sheetPr codeName="Feuil43"/>
  <dimension ref="A1:ANU47"/>
  <sheetViews>
    <sheetView zoomScale="43" workbookViewId="0">
      <selection activeCell="A3" sqref="A3:A4"/>
    </sheetView>
  </sheetViews>
  <sheetFormatPr baseColWidth="10" defaultRowHeight="14.4" x14ac:dyDescent="0.3"/>
  <cols>
    <col min="1" max="1" width="41.44140625" customWidth="1"/>
    <col min="2" max="2" width="12.33203125" customWidth="1"/>
    <col min="11" max="11" width="13.21875" customWidth="1"/>
  </cols>
  <sheetData>
    <row r="1" spans="1:1061" x14ac:dyDescent="0.3">
      <c r="A1" s="13" t="s">
        <v>171</v>
      </c>
      <c r="B1" s="14" t="s">
        <v>172</v>
      </c>
      <c r="C1" s="14" t="s">
        <v>173</v>
      </c>
      <c r="D1" s="14" t="s">
        <v>174</v>
      </c>
      <c r="E1" s="14" t="s">
        <v>175</v>
      </c>
      <c r="F1" s="14" t="s">
        <v>176</v>
      </c>
      <c r="G1" s="14" t="s">
        <v>177</v>
      </c>
      <c r="H1" s="14" t="s">
        <v>178</v>
      </c>
      <c r="I1" s="15" t="s">
        <v>179</v>
      </c>
      <c r="J1" s="16" t="s">
        <v>180</v>
      </c>
      <c r="K1" s="16" t="s">
        <v>181</v>
      </c>
      <c r="L1" s="9" t="s">
        <v>182</v>
      </c>
      <c r="M1" s="9" t="s">
        <v>183</v>
      </c>
      <c r="N1" s="9" t="s">
        <v>184</v>
      </c>
      <c r="O1" s="9" t="s">
        <v>185</v>
      </c>
      <c r="P1" s="9" t="s">
        <v>186</v>
      </c>
      <c r="Q1" s="9" t="s">
        <v>187</v>
      </c>
      <c r="R1" s="9" t="s">
        <v>188</v>
      </c>
      <c r="S1" s="9" t="s">
        <v>189</v>
      </c>
      <c r="T1" s="9" t="s">
        <v>190</v>
      </c>
      <c r="U1" s="9" t="s">
        <v>191</v>
      </c>
      <c r="V1" s="9" t="s">
        <v>192</v>
      </c>
      <c r="W1" s="9" t="s">
        <v>193</v>
      </c>
      <c r="X1" s="9" t="s">
        <v>284</v>
      </c>
      <c r="Y1" s="9" t="s">
        <v>285</v>
      </c>
      <c r="Z1" s="9" t="s">
        <v>286</v>
      </c>
      <c r="AA1" s="9" t="s">
        <v>287</v>
      </c>
      <c r="AB1" s="9" t="s">
        <v>288</v>
      </c>
      <c r="AC1" s="9" t="s">
        <v>289</v>
      </c>
      <c r="AD1" s="9" t="s">
        <v>290</v>
      </c>
      <c r="AE1" s="9" t="s">
        <v>291</v>
      </c>
      <c r="AF1" s="9" t="s">
        <v>292</v>
      </c>
      <c r="AG1" s="9" t="s">
        <v>293</v>
      </c>
      <c r="AH1" s="9" t="s">
        <v>294</v>
      </c>
      <c r="AI1" s="9" t="s">
        <v>295</v>
      </c>
      <c r="AJ1" s="9" t="s">
        <v>296</v>
      </c>
      <c r="AK1" s="9" t="s">
        <v>297</v>
      </c>
      <c r="AL1" s="9" t="s">
        <v>298</v>
      </c>
      <c r="AM1" s="9" t="s">
        <v>299</v>
      </c>
      <c r="AN1" s="9" t="s">
        <v>300</v>
      </c>
      <c r="AO1" s="9" t="s">
        <v>301</v>
      </c>
      <c r="AP1" s="9" t="s">
        <v>302</v>
      </c>
      <c r="AQ1" s="9" t="s">
        <v>303</v>
      </c>
      <c r="AR1" s="9" t="s">
        <v>304</v>
      </c>
      <c r="AS1" s="9" t="s">
        <v>305</v>
      </c>
      <c r="AT1" s="9" t="s">
        <v>306</v>
      </c>
      <c r="AU1" s="9" t="s">
        <v>309</v>
      </c>
      <c r="AV1" s="9" t="s">
        <v>310</v>
      </c>
      <c r="AW1" s="9" t="s">
        <v>311</v>
      </c>
      <c r="AX1" s="9" t="s">
        <v>312</v>
      </c>
      <c r="AY1" s="9" t="s">
        <v>313</v>
      </c>
      <c r="AZ1" s="9" t="s">
        <v>314</v>
      </c>
      <c r="BA1" s="9" t="s">
        <v>315</v>
      </c>
      <c r="BB1" s="9" t="s">
        <v>316</v>
      </c>
      <c r="BC1" s="9" t="s">
        <v>317</v>
      </c>
      <c r="BD1" s="9" t="s">
        <v>318</v>
      </c>
      <c r="BE1" s="9" t="s">
        <v>319</v>
      </c>
      <c r="BF1" s="9" t="s">
        <v>320</v>
      </c>
      <c r="BG1" s="9" t="s">
        <v>321</v>
      </c>
      <c r="BH1" s="9" t="s">
        <v>322</v>
      </c>
      <c r="BI1" s="9" t="s">
        <v>323</v>
      </c>
      <c r="BJ1" s="9" t="s">
        <v>324</v>
      </c>
      <c r="BK1" s="9" t="s">
        <v>325</v>
      </c>
      <c r="BL1" s="9" t="s">
        <v>326</v>
      </c>
      <c r="BM1" s="9" t="s">
        <v>327</v>
      </c>
      <c r="BN1" s="9" t="s">
        <v>328</v>
      </c>
      <c r="BO1" s="9" t="s">
        <v>329</v>
      </c>
      <c r="BP1" s="9" t="s">
        <v>330</v>
      </c>
      <c r="BQ1" s="9" t="s">
        <v>331</v>
      </c>
      <c r="BR1" s="9" t="s">
        <v>332</v>
      </c>
      <c r="BS1" s="9" t="s">
        <v>333</v>
      </c>
      <c r="BT1" s="9" t="s">
        <v>334</v>
      </c>
      <c r="BU1" s="9" t="s">
        <v>335</v>
      </c>
      <c r="BV1" s="9" t="s">
        <v>336</v>
      </c>
      <c r="BW1" s="9" t="s">
        <v>337</v>
      </c>
      <c r="BX1" s="9" t="s">
        <v>338</v>
      </c>
      <c r="BY1" s="9" t="s">
        <v>339</v>
      </c>
      <c r="BZ1" s="9" t="s">
        <v>340</v>
      </c>
      <c r="CA1" s="9" t="s">
        <v>341</v>
      </c>
      <c r="CB1" s="9" t="s">
        <v>342</v>
      </c>
      <c r="CC1" s="9" t="s">
        <v>343</v>
      </c>
      <c r="CD1" s="9" t="s">
        <v>344</v>
      </c>
      <c r="CE1" s="9" t="s">
        <v>345</v>
      </c>
      <c r="CF1" s="9" t="s">
        <v>346</v>
      </c>
      <c r="CG1" s="9" t="s">
        <v>347</v>
      </c>
      <c r="CH1" s="9" t="s">
        <v>348</v>
      </c>
      <c r="CI1" s="9" t="s">
        <v>349</v>
      </c>
      <c r="CJ1" s="9" t="s">
        <v>350</v>
      </c>
      <c r="CK1" s="9" t="s">
        <v>351</v>
      </c>
      <c r="CL1" s="9" t="s">
        <v>352</v>
      </c>
      <c r="CM1" s="9" t="s">
        <v>353</v>
      </c>
      <c r="CN1" s="9" t="s">
        <v>354</v>
      </c>
      <c r="CO1" s="9" t="s">
        <v>355</v>
      </c>
      <c r="CP1" s="9" t="s">
        <v>356</v>
      </c>
      <c r="CQ1" s="9" t="s">
        <v>357</v>
      </c>
      <c r="CR1" s="9" t="s">
        <v>358</v>
      </c>
      <c r="CS1" s="9" t="s">
        <v>359</v>
      </c>
      <c r="CT1" s="9" t="s">
        <v>360</v>
      </c>
      <c r="CU1" s="9" t="s">
        <v>361</v>
      </c>
      <c r="CV1" s="9" t="s">
        <v>362</v>
      </c>
      <c r="CW1" s="9" t="s">
        <v>363</v>
      </c>
      <c r="CX1" s="9" t="s">
        <v>364</v>
      </c>
      <c r="CY1" s="9" t="s">
        <v>365</v>
      </c>
      <c r="CZ1" s="9" t="s">
        <v>366</v>
      </c>
      <c r="DA1" s="9" t="s">
        <v>367</v>
      </c>
      <c r="DB1" s="9" t="s">
        <v>368</v>
      </c>
      <c r="DC1" s="9" t="s">
        <v>369</v>
      </c>
      <c r="DD1" s="9" t="s">
        <v>370</v>
      </c>
      <c r="DE1" s="9" t="s">
        <v>371</v>
      </c>
      <c r="DF1" s="9" t="s">
        <v>372</v>
      </c>
      <c r="DG1" s="9" t="s">
        <v>373</v>
      </c>
      <c r="DH1" s="9" t="s">
        <v>374</v>
      </c>
      <c r="DI1" s="9" t="s">
        <v>375</v>
      </c>
      <c r="DJ1" s="9" t="s">
        <v>376</v>
      </c>
      <c r="DK1" s="9" t="s">
        <v>377</v>
      </c>
      <c r="DL1" s="9" t="s">
        <v>378</v>
      </c>
      <c r="DM1" s="9" t="s">
        <v>379</v>
      </c>
      <c r="DN1" s="9" t="s">
        <v>380</v>
      </c>
      <c r="DO1" s="9" t="s">
        <v>381</v>
      </c>
      <c r="DP1" s="9" t="s">
        <v>382</v>
      </c>
      <c r="DQ1" s="9" t="s">
        <v>383</v>
      </c>
      <c r="DR1" s="9" t="s">
        <v>384</v>
      </c>
      <c r="DS1" s="9" t="s">
        <v>385</v>
      </c>
      <c r="DT1" s="9" t="s">
        <v>386</v>
      </c>
      <c r="DU1" s="9" t="s">
        <v>387</v>
      </c>
      <c r="DV1" s="9" t="s">
        <v>388</v>
      </c>
      <c r="DW1" s="9" t="s">
        <v>389</v>
      </c>
      <c r="DX1" s="9" t="s">
        <v>390</v>
      </c>
      <c r="DY1" s="9" t="s">
        <v>391</v>
      </c>
      <c r="DZ1" s="9" t="s">
        <v>392</v>
      </c>
      <c r="EA1" s="9" t="s">
        <v>393</v>
      </c>
      <c r="EB1" s="9" t="s">
        <v>394</v>
      </c>
      <c r="EC1" s="9" t="s">
        <v>395</v>
      </c>
      <c r="ED1" s="9" t="s">
        <v>396</v>
      </c>
      <c r="EE1" s="9" t="s">
        <v>397</v>
      </c>
      <c r="EF1" s="9" t="s">
        <v>398</v>
      </c>
      <c r="EG1" s="9" t="s">
        <v>399</v>
      </c>
      <c r="EH1" s="9" t="s">
        <v>400</v>
      </c>
      <c r="EI1" s="9" t="s">
        <v>401</v>
      </c>
      <c r="EJ1" s="9" t="s">
        <v>402</v>
      </c>
      <c r="EK1" s="9" t="s">
        <v>403</v>
      </c>
      <c r="EL1" s="9" t="s">
        <v>404</v>
      </c>
      <c r="EM1" s="9" t="s">
        <v>405</v>
      </c>
      <c r="EN1" s="9" t="s">
        <v>406</v>
      </c>
      <c r="EO1" s="9" t="s">
        <v>407</v>
      </c>
      <c r="EP1" s="9" t="s">
        <v>408</v>
      </c>
      <c r="EQ1" s="9" t="s">
        <v>409</v>
      </c>
      <c r="ER1" s="9" t="s">
        <v>410</v>
      </c>
      <c r="ES1" s="9" t="s">
        <v>411</v>
      </c>
      <c r="ET1" s="9" t="s">
        <v>412</v>
      </c>
      <c r="EU1" s="9" t="s">
        <v>413</v>
      </c>
      <c r="EV1" s="9" t="s">
        <v>414</v>
      </c>
      <c r="EW1" s="9" t="s">
        <v>415</v>
      </c>
      <c r="EX1" s="9" t="s">
        <v>416</v>
      </c>
      <c r="EY1" s="9" t="s">
        <v>417</v>
      </c>
      <c r="EZ1" s="9" t="s">
        <v>418</v>
      </c>
      <c r="FA1" s="9" t="s">
        <v>419</v>
      </c>
      <c r="FB1" s="9" t="s">
        <v>420</v>
      </c>
      <c r="FC1" s="9" t="s">
        <v>421</v>
      </c>
      <c r="FD1" s="9" t="s">
        <v>422</v>
      </c>
      <c r="FE1" s="9" t="s">
        <v>423</v>
      </c>
      <c r="FF1" s="9" t="s">
        <v>424</v>
      </c>
      <c r="FG1" s="9" t="s">
        <v>425</v>
      </c>
      <c r="FH1" s="9" t="s">
        <v>426</v>
      </c>
      <c r="FI1" s="9" t="s">
        <v>427</v>
      </c>
      <c r="FJ1" s="9" t="s">
        <v>428</v>
      </c>
      <c r="FK1" s="9" t="s">
        <v>429</v>
      </c>
      <c r="FL1" s="9" t="s">
        <v>430</v>
      </c>
      <c r="FM1" s="9" t="s">
        <v>431</v>
      </c>
      <c r="FN1" s="9" t="s">
        <v>432</v>
      </c>
      <c r="FO1" s="9" t="s">
        <v>433</v>
      </c>
      <c r="FP1" s="9" t="s">
        <v>434</v>
      </c>
      <c r="FQ1" s="9" t="s">
        <v>435</v>
      </c>
      <c r="FR1" s="9" t="s">
        <v>436</v>
      </c>
      <c r="FS1" s="9" t="s">
        <v>437</v>
      </c>
      <c r="FT1" s="9" t="s">
        <v>438</v>
      </c>
      <c r="FU1" s="9" t="s">
        <v>439</v>
      </c>
      <c r="FV1" s="9" t="s">
        <v>440</v>
      </c>
      <c r="FW1" s="9" t="s">
        <v>441</v>
      </c>
      <c r="FX1" s="9" t="s">
        <v>442</v>
      </c>
      <c r="FY1" s="9" t="s">
        <v>443</v>
      </c>
      <c r="FZ1" s="9" t="s">
        <v>444</v>
      </c>
      <c r="GA1" s="9" t="s">
        <v>445</v>
      </c>
      <c r="GB1" s="9" t="s">
        <v>446</v>
      </c>
      <c r="GC1" s="9" t="s">
        <v>447</v>
      </c>
      <c r="GD1" s="9" t="s">
        <v>448</v>
      </c>
      <c r="GE1" s="9" t="s">
        <v>449</v>
      </c>
      <c r="GF1" s="9" t="s">
        <v>450</v>
      </c>
      <c r="GG1" s="9" t="s">
        <v>451</v>
      </c>
      <c r="GH1" s="9" t="s">
        <v>452</v>
      </c>
      <c r="GI1" s="9" t="s">
        <v>453</v>
      </c>
      <c r="GJ1" s="9" t="s">
        <v>454</v>
      </c>
      <c r="GK1" s="9" t="s">
        <v>455</v>
      </c>
      <c r="GL1" s="9" t="s">
        <v>456</v>
      </c>
      <c r="GM1" s="9" t="s">
        <v>457</v>
      </c>
      <c r="GN1" s="9" t="s">
        <v>458</v>
      </c>
      <c r="GO1" s="9" t="s">
        <v>459</v>
      </c>
      <c r="GP1" s="9" t="s">
        <v>460</v>
      </c>
      <c r="GQ1" s="9" t="s">
        <v>461</v>
      </c>
      <c r="GR1" s="9" t="s">
        <v>462</v>
      </c>
      <c r="GS1" s="9" t="s">
        <v>463</v>
      </c>
      <c r="GT1" s="9" t="s">
        <v>464</v>
      </c>
      <c r="GU1" s="9" t="s">
        <v>465</v>
      </c>
      <c r="GV1" s="9" t="s">
        <v>466</v>
      </c>
      <c r="GW1" s="9" t="s">
        <v>467</v>
      </c>
      <c r="GX1" s="9" t="s">
        <v>468</v>
      </c>
      <c r="GY1" s="9" t="s">
        <v>469</v>
      </c>
      <c r="GZ1" s="9" t="s">
        <v>470</v>
      </c>
      <c r="HA1" s="9" t="s">
        <v>471</v>
      </c>
      <c r="HB1" s="9" t="s">
        <v>472</v>
      </c>
      <c r="HC1" s="9" t="s">
        <v>473</v>
      </c>
      <c r="HD1" s="9" t="s">
        <v>474</v>
      </c>
      <c r="HE1" s="9" t="s">
        <v>475</v>
      </c>
      <c r="HF1" s="9" t="s">
        <v>476</v>
      </c>
      <c r="HG1" s="9" t="s">
        <v>477</v>
      </c>
      <c r="HH1" s="9" t="s">
        <v>478</v>
      </c>
      <c r="HI1" s="9" t="s">
        <v>479</v>
      </c>
      <c r="HJ1" s="9" t="s">
        <v>480</v>
      </c>
      <c r="HK1" s="9" t="s">
        <v>481</v>
      </c>
      <c r="HL1" s="9" t="s">
        <v>482</v>
      </c>
      <c r="HM1" s="9" t="s">
        <v>483</v>
      </c>
      <c r="HN1" s="9" t="s">
        <v>484</v>
      </c>
      <c r="HO1" s="9" t="s">
        <v>485</v>
      </c>
      <c r="HP1" s="9" t="s">
        <v>486</v>
      </c>
      <c r="HQ1" s="9" t="s">
        <v>487</v>
      </c>
      <c r="HR1" s="9" t="s">
        <v>488</v>
      </c>
      <c r="HS1" s="9" t="s">
        <v>489</v>
      </c>
      <c r="HT1" s="9" t="s">
        <v>490</v>
      </c>
      <c r="HU1" s="9" t="s">
        <v>491</v>
      </c>
      <c r="HV1" s="9" t="s">
        <v>492</v>
      </c>
      <c r="HW1" s="9" t="s">
        <v>493</v>
      </c>
      <c r="HX1" s="9" t="s">
        <v>494</v>
      </c>
      <c r="HY1" s="9" t="s">
        <v>495</v>
      </c>
      <c r="HZ1" s="9" t="s">
        <v>496</v>
      </c>
      <c r="IA1" s="9" t="s">
        <v>497</v>
      </c>
      <c r="IB1" s="9" t="s">
        <v>498</v>
      </c>
      <c r="IC1" s="9" t="s">
        <v>499</v>
      </c>
      <c r="ID1" s="9" t="s">
        <v>500</v>
      </c>
      <c r="IE1" s="9" t="s">
        <v>501</v>
      </c>
      <c r="IF1" s="9" t="s">
        <v>502</v>
      </c>
      <c r="IG1" s="9" t="s">
        <v>503</v>
      </c>
      <c r="IH1" s="9" t="s">
        <v>504</v>
      </c>
      <c r="II1" s="9" t="s">
        <v>505</v>
      </c>
      <c r="IJ1" s="9" t="s">
        <v>506</v>
      </c>
      <c r="IK1" s="9" t="s">
        <v>507</v>
      </c>
      <c r="IL1" s="9" t="s">
        <v>508</v>
      </c>
      <c r="IM1" s="9" t="s">
        <v>509</v>
      </c>
      <c r="IN1" s="9" t="s">
        <v>510</v>
      </c>
      <c r="IO1" s="9" t="s">
        <v>511</v>
      </c>
      <c r="IP1" s="9" t="s">
        <v>512</v>
      </c>
      <c r="IQ1" s="9" t="s">
        <v>513</v>
      </c>
      <c r="IR1" s="9" t="s">
        <v>514</v>
      </c>
      <c r="IS1" s="9" t="s">
        <v>515</v>
      </c>
      <c r="IT1" s="9" t="s">
        <v>516</v>
      </c>
      <c r="IU1" s="9" t="s">
        <v>517</v>
      </c>
      <c r="IV1" s="9" t="s">
        <v>518</v>
      </c>
      <c r="IW1" s="9" t="s">
        <v>519</v>
      </c>
      <c r="IX1" s="9" t="s">
        <v>520</v>
      </c>
      <c r="IY1" s="9" t="s">
        <v>521</v>
      </c>
      <c r="IZ1" s="9" t="s">
        <v>522</v>
      </c>
      <c r="JA1" s="9" t="s">
        <v>523</v>
      </c>
      <c r="JB1" s="9" t="s">
        <v>524</v>
      </c>
      <c r="JC1" s="9" t="s">
        <v>525</v>
      </c>
      <c r="JD1" s="9" t="s">
        <v>526</v>
      </c>
      <c r="JE1" s="9" t="s">
        <v>527</v>
      </c>
      <c r="JF1" s="9" t="s">
        <v>528</v>
      </c>
      <c r="JG1" s="9" t="s">
        <v>529</v>
      </c>
      <c r="JH1" s="9" t="s">
        <v>530</v>
      </c>
      <c r="JI1" s="9" t="s">
        <v>531</v>
      </c>
      <c r="JJ1" s="9" t="s">
        <v>532</v>
      </c>
      <c r="JK1" s="9" t="s">
        <v>533</v>
      </c>
      <c r="JL1" s="9" t="s">
        <v>534</v>
      </c>
      <c r="JM1" s="9" t="s">
        <v>535</v>
      </c>
      <c r="JN1" s="9" t="s">
        <v>536</v>
      </c>
      <c r="JO1" s="9" t="s">
        <v>537</v>
      </c>
      <c r="JP1" s="9" t="s">
        <v>538</v>
      </c>
      <c r="JQ1" s="9" t="s">
        <v>539</v>
      </c>
      <c r="JR1" s="9" t="s">
        <v>540</v>
      </c>
      <c r="JS1" s="9" t="s">
        <v>541</v>
      </c>
      <c r="JT1" s="9" t="s">
        <v>542</v>
      </c>
      <c r="JU1" s="9" t="s">
        <v>543</v>
      </c>
      <c r="JV1" s="9" t="s">
        <v>544</v>
      </c>
      <c r="JW1" s="9" t="s">
        <v>545</v>
      </c>
      <c r="JX1" s="9" t="s">
        <v>546</v>
      </c>
      <c r="JY1" s="9" t="s">
        <v>547</v>
      </c>
      <c r="JZ1" s="9" t="s">
        <v>548</v>
      </c>
      <c r="KA1" s="9" t="s">
        <v>549</v>
      </c>
      <c r="KB1" s="9" t="s">
        <v>550</v>
      </c>
      <c r="KC1" s="9" t="s">
        <v>551</v>
      </c>
      <c r="KD1" s="9" t="s">
        <v>552</v>
      </c>
      <c r="KE1" s="9" t="s">
        <v>553</v>
      </c>
      <c r="KF1" s="9" t="s">
        <v>554</v>
      </c>
      <c r="KG1" s="9" t="s">
        <v>555</v>
      </c>
      <c r="KH1" s="9" t="s">
        <v>556</v>
      </c>
      <c r="KI1" s="9" t="s">
        <v>557</v>
      </c>
      <c r="KJ1" s="9" t="s">
        <v>558</v>
      </c>
      <c r="KK1" s="9" t="s">
        <v>559</v>
      </c>
      <c r="KL1" s="9" t="s">
        <v>560</v>
      </c>
      <c r="KM1" s="9" t="s">
        <v>561</v>
      </c>
      <c r="KN1" s="9" t="s">
        <v>562</v>
      </c>
      <c r="KO1" s="9" t="s">
        <v>563</v>
      </c>
      <c r="KP1" s="9" t="s">
        <v>564</v>
      </c>
      <c r="KQ1" s="9" t="s">
        <v>565</v>
      </c>
      <c r="KR1" s="9" t="s">
        <v>566</v>
      </c>
      <c r="KS1" s="9" t="s">
        <v>567</v>
      </c>
      <c r="KT1" s="9" t="s">
        <v>568</v>
      </c>
      <c r="KU1" s="9" t="s">
        <v>569</v>
      </c>
      <c r="KV1" s="9" t="s">
        <v>570</v>
      </c>
      <c r="KW1" s="9" t="s">
        <v>571</v>
      </c>
      <c r="KX1" s="9" t="s">
        <v>572</v>
      </c>
      <c r="KY1" s="9" t="s">
        <v>573</v>
      </c>
      <c r="KZ1" s="9" t="s">
        <v>574</v>
      </c>
      <c r="LA1" s="9" t="s">
        <v>575</v>
      </c>
      <c r="LB1" s="9" t="s">
        <v>576</v>
      </c>
      <c r="LC1" s="9" t="s">
        <v>577</v>
      </c>
      <c r="LD1" s="9" t="s">
        <v>578</v>
      </c>
      <c r="LE1" s="9" t="s">
        <v>579</v>
      </c>
      <c r="LF1" s="9" t="s">
        <v>580</v>
      </c>
      <c r="LG1" s="9" t="s">
        <v>581</v>
      </c>
      <c r="LH1" s="9" t="s">
        <v>582</v>
      </c>
      <c r="LI1" s="9" t="s">
        <v>583</v>
      </c>
      <c r="LJ1" s="9" t="s">
        <v>584</v>
      </c>
      <c r="LK1" s="9" t="s">
        <v>585</v>
      </c>
      <c r="LL1" s="9" t="s">
        <v>586</v>
      </c>
      <c r="LM1" s="9" t="s">
        <v>587</v>
      </c>
      <c r="LN1" s="9" t="s">
        <v>588</v>
      </c>
      <c r="LO1" s="9" t="s">
        <v>589</v>
      </c>
      <c r="LP1" s="9" t="s">
        <v>590</v>
      </c>
      <c r="LQ1" s="9" t="s">
        <v>591</v>
      </c>
      <c r="LR1" s="9" t="s">
        <v>592</v>
      </c>
      <c r="LS1" s="9" t="s">
        <v>593</v>
      </c>
      <c r="LT1" s="9" t="s">
        <v>594</v>
      </c>
      <c r="LU1" s="9" t="s">
        <v>595</v>
      </c>
      <c r="LV1" s="9" t="s">
        <v>596</v>
      </c>
      <c r="LW1" s="9" t="s">
        <v>597</v>
      </c>
      <c r="LX1" s="9" t="s">
        <v>598</v>
      </c>
      <c r="LY1" s="9" t="s">
        <v>599</v>
      </c>
      <c r="LZ1" s="9" t="s">
        <v>600</v>
      </c>
      <c r="MA1" s="9" t="s">
        <v>601</v>
      </c>
      <c r="MB1" s="9" t="s">
        <v>602</v>
      </c>
      <c r="MC1" s="9" t="s">
        <v>603</v>
      </c>
      <c r="MD1" s="9" t="s">
        <v>604</v>
      </c>
      <c r="ME1" s="9" t="s">
        <v>605</v>
      </c>
      <c r="MF1" s="9" t="s">
        <v>606</v>
      </c>
      <c r="MG1" s="9" t="s">
        <v>607</v>
      </c>
      <c r="MH1" s="9" t="s">
        <v>608</v>
      </c>
      <c r="MI1" s="9" t="s">
        <v>609</v>
      </c>
      <c r="MJ1" s="9" t="s">
        <v>610</v>
      </c>
      <c r="MK1" s="9" t="s">
        <v>611</v>
      </c>
      <c r="ML1" s="9" t="s">
        <v>612</v>
      </c>
      <c r="MM1" s="9" t="s">
        <v>613</v>
      </c>
      <c r="MN1" s="9" t="s">
        <v>614</v>
      </c>
      <c r="MO1" s="9" t="s">
        <v>615</v>
      </c>
      <c r="MP1" s="9" t="s">
        <v>616</v>
      </c>
      <c r="MQ1" s="9" t="s">
        <v>617</v>
      </c>
      <c r="MR1" s="9" t="s">
        <v>618</v>
      </c>
      <c r="MS1" s="9" t="s">
        <v>619</v>
      </c>
      <c r="MT1" s="9" t="s">
        <v>620</v>
      </c>
      <c r="MU1" s="9" t="s">
        <v>621</v>
      </c>
      <c r="MV1" s="9" t="s">
        <v>622</v>
      </c>
      <c r="MW1" s="9" t="s">
        <v>623</v>
      </c>
      <c r="MX1" s="9" t="s">
        <v>624</v>
      </c>
      <c r="MY1" s="9" t="s">
        <v>625</v>
      </c>
      <c r="MZ1" s="9" t="s">
        <v>626</v>
      </c>
      <c r="NA1" s="9" t="s">
        <v>627</v>
      </c>
      <c r="NB1" s="9" t="s">
        <v>628</v>
      </c>
      <c r="NC1" s="9" t="s">
        <v>629</v>
      </c>
      <c r="ND1" s="9" t="s">
        <v>630</v>
      </c>
      <c r="NE1" s="9" t="s">
        <v>631</v>
      </c>
      <c r="NF1" s="9" t="s">
        <v>632</v>
      </c>
      <c r="NG1" s="9" t="s">
        <v>633</v>
      </c>
      <c r="NH1" s="9" t="s">
        <v>634</v>
      </c>
      <c r="NI1" s="9" t="s">
        <v>635</v>
      </c>
      <c r="NJ1" s="9" t="s">
        <v>636</v>
      </c>
      <c r="NK1" s="9" t="s">
        <v>637</v>
      </c>
      <c r="NL1" s="9" t="s">
        <v>638</v>
      </c>
      <c r="NM1" s="9" t="s">
        <v>639</v>
      </c>
      <c r="NN1" s="9" t="s">
        <v>640</v>
      </c>
      <c r="NO1" s="9" t="s">
        <v>641</v>
      </c>
      <c r="NP1" s="9" t="s">
        <v>642</v>
      </c>
      <c r="NQ1" s="9" t="s">
        <v>643</v>
      </c>
      <c r="NR1" s="9" t="s">
        <v>644</v>
      </c>
      <c r="NS1" s="9" t="s">
        <v>645</v>
      </c>
      <c r="NT1" s="9" t="s">
        <v>646</v>
      </c>
      <c r="NU1" s="9" t="s">
        <v>647</v>
      </c>
      <c r="NV1" s="9" t="s">
        <v>648</v>
      </c>
      <c r="NW1" s="9" t="s">
        <v>649</v>
      </c>
      <c r="NX1" s="9" t="s">
        <v>650</v>
      </c>
      <c r="NY1" s="9" t="s">
        <v>651</v>
      </c>
      <c r="NZ1" s="9" t="s">
        <v>652</v>
      </c>
      <c r="OA1" s="9" t="s">
        <v>653</v>
      </c>
      <c r="OB1" s="9" t="s">
        <v>654</v>
      </c>
      <c r="OC1" s="9" t="s">
        <v>655</v>
      </c>
      <c r="OD1" s="9" t="s">
        <v>656</v>
      </c>
      <c r="OE1" s="9" t="s">
        <v>657</v>
      </c>
      <c r="OF1" s="9" t="s">
        <v>658</v>
      </c>
      <c r="OG1" s="9" t="s">
        <v>659</v>
      </c>
      <c r="OH1" s="9" t="s">
        <v>660</v>
      </c>
      <c r="OI1" s="9" t="s">
        <v>661</v>
      </c>
      <c r="OJ1" s="9" t="s">
        <v>662</v>
      </c>
      <c r="OK1" s="9" t="s">
        <v>663</v>
      </c>
      <c r="OL1" s="9" t="s">
        <v>664</v>
      </c>
      <c r="OM1" s="9" t="s">
        <v>665</v>
      </c>
      <c r="ON1" s="9" t="s">
        <v>666</v>
      </c>
      <c r="OO1" s="9" t="s">
        <v>667</v>
      </c>
      <c r="OP1" s="9" t="s">
        <v>668</v>
      </c>
      <c r="OQ1" s="9" t="s">
        <v>669</v>
      </c>
      <c r="OR1" s="9" t="s">
        <v>670</v>
      </c>
      <c r="OS1" s="9" t="s">
        <v>671</v>
      </c>
      <c r="OT1" s="9" t="s">
        <v>672</v>
      </c>
      <c r="OU1" s="9" t="s">
        <v>673</v>
      </c>
      <c r="OV1" s="9" t="s">
        <v>674</v>
      </c>
      <c r="OW1" s="9" t="s">
        <v>675</v>
      </c>
      <c r="OX1" s="9" t="s">
        <v>676</v>
      </c>
      <c r="OY1" s="9" t="s">
        <v>677</v>
      </c>
      <c r="OZ1" s="9" t="s">
        <v>678</v>
      </c>
      <c r="PA1" s="9" t="s">
        <v>679</v>
      </c>
      <c r="PB1" s="9" t="s">
        <v>680</v>
      </c>
      <c r="PC1" s="9" t="s">
        <v>681</v>
      </c>
      <c r="PD1" s="9" t="s">
        <v>682</v>
      </c>
      <c r="PE1" s="9" t="s">
        <v>683</v>
      </c>
      <c r="PF1" s="9" t="s">
        <v>684</v>
      </c>
      <c r="PG1" s="9" t="s">
        <v>685</v>
      </c>
      <c r="PH1" s="9" t="s">
        <v>686</v>
      </c>
      <c r="PI1" s="9" t="s">
        <v>687</v>
      </c>
      <c r="PJ1" s="9" t="s">
        <v>688</v>
      </c>
      <c r="PK1" s="9" t="s">
        <v>689</v>
      </c>
      <c r="PL1" s="9" t="s">
        <v>690</v>
      </c>
      <c r="PM1" s="9" t="s">
        <v>691</v>
      </c>
      <c r="PN1" s="9" t="s">
        <v>692</v>
      </c>
      <c r="PO1" s="9" t="s">
        <v>693</v>
      </c>
      <c r="PP1" s="9" t="s">
        <v>694</v>
      </c>
      <c r="PQ1" s="9" t="s">
        <v>695</v>
      </c>
      <c r="PR1" s="9" t="s">
        <v>696</v>
      </c>
      <c r="PS1" s="9" t="s">
        <v>697</v>
      </c>
      <c r="PT1" s="9" t="s">
        <v>698</v>
      </c>
      <c r="PU1" s="9" t="s">
        <v>699</v>
      </c>
      <c r="PV1" s="9" t="s">
        <v>700</v>
      </c>
      <c r="PW1" s="9" t="s">
        <v>701</v>
      </c>
      <c r="PX1" s="9" t="s">
        <v>702</v>
      </c>
      <c r="PY1" s="9" t="s">
        <v>703</v>
      </c>
      <c r="PZ1" s="9" t="s">
        <v>704</v>
      </c>
      <c r="QA1" s="9" t="s">
        <v>705</v>
      </c>
      <c r="QB1" s="9" t="s">
        <v>706</v>
      </c>
      <c r="QC1" s="9" t="s">
        <v>707</v>
      </c>
      <c r="QD1" s="9" t="s">
        <v>708</v>
      </c>
      <c r="QE1" s="9" t="s">
        <v>709</v>
      </c>
      <c r="QF1" s="9" t="s">
        <v>710</v>
      </c>
      <c r="QG1" s="9" t="s">
        <v>711</v>
      </c>
      <c r="QH1" s="9" t="s">
        <v>712</v>
      </c>
      <c r="QI1" s="9" t="s">
        <v>713</v>
      </c>
      <c r="QJ1" s="9" t="s">
        <v>714</v>
      </c>
      <c r="QK1" s="9" t="s">
        <v>715</v>
      </c>
      <c r="QL1" s="9" t="s">
        <v>716</v>
      </c>
      <c r="QM1" s="9" t="s">
        <v>717</v>
      </c>
      <c r="QN1" s="9" t="s">
        <v>718</v>
      </c>
      <c r="QO1" s="9" t="s">
        <v>719</v>
      </c>
      <c r="QP1" s="9" t="s">
        <v>720</v>
      </c>
      <c r="QQ1" s="9" t="s">
        <v>721</v>
      </c>
      <c r="QR1" s="9" t="s">
        <v>722</v>
      </c>
      <c r="QS1" s="9" t="s">
        <v>723</v>
      </c>
      <c r="QT1" s="9" t="s">
        <v>724</v>
      </c>
      <c r="QU1" s="9" t="s">
        <v>725</v>
      </c>
      <c r="QV1" s="9" t="s">
        <v>726</v>
      </c>
      <c r="QW1" s="9" t="s">
        <v>727</v>
      </c>
      <c r="QX1" s="9" t="s">
        <v>728</v>
      </c>
      <c r="QY1" s="9" t="s">
        <v>729</v>
      </c>
      <c r="QZ1" s="9" t="s">
        <v>730</v>
      </c>
      <c r="RA1" s="9" t="s">
        <v>731</v>
      </c>
      <c r="RB1" s="9" t="s">
        <v>732</v>
      </c>
      <c r="RC1" s="9" t="s">
        <v>733</v>
      </c>
      <c r="RD1" s="9" t="s">
        <v>734</v>
      </c>
      <c r="RE1" s="9" t="s">
        <v>735</v>
      </c>
      <c r="RF1" s="9" t="s">
        <v>736</v>
      </c>
      <c r="RG1" s="9" t="s">
        <v>737</v>
      </c>
      <c r="RH1" s="9" t="s">
        <v>738</v>
      </c>
      <c r="RI1" s="9" t="s">
        <v>739</v>
      </c>
      <c r="RJ1" s="9" t="s">
        <v>740</v>
      </c>
      <c r="RK1" s="9" t="s">
        <v>741</v>
      </c>
      <c r="RL1" s="9" t="s">
        <v>742</v>
      </c>
      <c r="RM1" s="9" t="s">
        <v>743</v>
      </c>
      <c r="RN1" s="9" t="s">
        <v>744</v>
      </c>
      <c r="RO1" s="9" t="s">
        <v>745</v>
      </c>
      <c r="RP1" s="9" t="s">
        <v>746</v>
      </c>
      <c r="RQ1" s="9" t="s">
        <v>747</v>
      </c>
      <c r="RR1" s="9" t="s">
        <v>748</v>
      </c>
      <c r="RS1" s="9" t="s">
        <v>749</v>
      </c>
      <c r="RT1" s="9" t="s">
        <v>750</v>
      </c>
      <c r="RU1" s="9" t="s">
        <v>751</v>
      </c>
      <c r="RV1" s="9" t="s">
        <v>752</v>
      </c>
      <c r="RW1" s="9" t="s">
        <v>753</v>
      </c>
      <c r="RX1" s="9" t="s">
        <v>754</v>
      </c>
      <c r="RY1" s="9" t="s">
        <v>755</v>
      </c>
      <c r="RZ1" s="9" t="s">
        <v>756</v>
      </c>
      <c r="SA1" s="9" t="s">
        <v>757</v>
      </c>
      <c r="SB1" s="9" t="s">
        <v>758</v>
      </c>
      <c r="SC1" s="9" t="s">
        <v>759</v>
      </c>
      <c r="SD1" s="9" t="s">
        <v>760</v>
      </c>
      <c r="SE1" s="9" t="s">
        <v>761</v>
      </c>
      <c r="SF1" s="9" t="s">
        <v>762</v>
      </c>
      <c r="SG1" s="9" t="s">
        <v>763</v>
      </c>
      <c r="SH1" s="9" t="s">
        <v>764</v>
      </c>
      <c r="SI1" s="9" t="s">
        <v>765</v>
      </c>
      <c r="SJ1" s="9" t="s">
        <v>766</v>
      </c>
      <c r="SK1" s="9" t="s">
        <v>767</v>
      </c>
      <c r="SL1" s="9" t="s">
        <v>768</v>
      </c>
      <c r="SM1" s="9" t="s">
        <v>769</v>
      </c>
      <c r="SN1" s="9" t="s">
        <v>770</v>
      </c>
      <c r="SO1" s="9" t="s">
        <v>771</v>
      </c>
      <c r="SP1" s="9" t="s">
        <v>772</v>
      </c>
      <c r="SQ1" s="9" t="s">
        <v>773</v>
      </c>
      <c r="SR1" s="9" t="s">
        <v>774</v>
      </c>
      <c r="SS1" s="9" t="s">
        <v>775</v>
      </c>
      <c r="ST1" s="9" t="s">
        <v>776</v>
      </c>
      <c r="SU1" s="9" t="s">
        <v>777</v>
      </c>
      <c r="SV1" s="9" t="s">
        <v>778</v>
      </c>
      <c r="SW1" s="9" t="s">
        <v>779</v>
      </c>
      <c r="SX1" s="9" t="s">
        <v>780</v>
      </c>
      <c r="SY1" s="9" t="s">
        <v>781</v>
      </c>
      <c r="SZ1" s="9" t="s">
        <v>782</v>
      </c>
      <c r="TA1" s="9" t="s">
        <v>783</v>
      </c>
      <c r="TB1" s="9" t="s">
        <v>784</v>
      </c>
      <c r="TC1" s="9" t="s">
        <v>785</v>
      </c>
      <c r="TD1" s="9" t="s">
        <v>786</v>
      </c>
      <c r="TE1" s="9" t="s">
        <v>787</v>
      </c>
      <c r="TF1" s="9" t="s">
        <v>788</v>
      </c>
      <c r="TG1" s="9" t="s">
        <v>789</v>
      </c>
      <c r="TH1" s="9" t="s">
        <v>790</v>
      </c>
      <c r="TI1" s="9" t="s">
        <v>791</v>
      </c>
      <c r="TJ1" s="9" t="s">
        <v>792</v>
      </c>
      <c r="TK1" s="9" t="s">
        <v>793</v>
      </c>
      <c r="TL1" s="9" t="s">
        <v>794</v>
      </c>
      <c r="TM1" s="9" t="s">
        <v>795</v>
      </c>
      <c r="TN1" s="9" t="s">
        <v>796</v>
      </c>
      <c r="TO1" s="9" t="s">
        <v>797</v>
      </c>
      <c r="TP1" s="9" t="s">
        <v>798</v>
      </c>
      <c r="TQ1" s="9" t="s">
        <v>799</v>
      </c>
      <c r="TR1" s="9" t="s">
        <v>800</v>
      </c>
      <c r="TS1" s="9" t="s">
        <v>801</v>
      </c>
      <c r="TT1" s="9" t="s">
        <v>802</v>
      </c>
      <c r="TU1" s="9" t="s">
        <v>803</v>
      </c>
      <c r="TV1" s="9" t="s">
        <v>804</v>
      </c>
      <c r="TW1" s="9" t="s">
        <v>805</v>
      </c>
      <c r="TX1" s="9" t="s">
        <v>806</v>
      </c>
      <c r="TY1" s="9" t="s">
        <v>807</v>
      </c>
      <c r="TZ1" s="9" t="s">
        <v>808</v>
      </c>
      <c r="UA1" s="9" t="s">
        <v>809</v>
      </c>
      <c r="UB1" s="9" t="s">
        <v>810</v>
      </c>
      <c r="UC1" s="9" t="s">
        <v>811</v>
      </c>
      <c r="UD1" s="9" t="s">
        <v>812</v>
      </c>
      <c r="UE1" s="9" t="s">
        <v>813</v>
      </c>
      <c r="UF1" s="9" t="s">
        <v>814</v>
      </c>
      <c r="UG1" s="9" t="s">
        <v>815</v>
      </c>
      <c r="UH1" s="9" t="s">
        <v>816</v>
      </c>
      <c r="UI1" s="9" t="s">
        <v>817</v>
      </c>
      <c r="UJ1" s="9" t="s">
        <v>818</v>
      </c>
      <c r="UK1" s="9" t="s">
        <v>199</v>
      </c>
      <c r="UL1" s="9" t="s">
        <v>819</v>
      </c>
      <c r="UM1" s="9" t="s">
        <v>820</v>
      </c>
      <c r="UN1" s="9" t="s">
        <v>821</v>
      </c>
      <c r="UO1" s="9" t="s">
        <v>822</v>
      </c>
      <c r="UP1" s="9" t="s">
        <v>823</v>
      </c>
      <c r="UQ1" s="9" t="s">
        <v>824</v>
      </c>
      <c r="UR1" s="9" t="s">
        <v>825</v>
      </c>
      <c r="US1" s="9" t="s">
        <v>826</v>
      </c>
      <c r="UT1" s="9" t="s">
        <v>827</v>
      </c>
      <c r="UU1" s="9" t="s">
        <v>828</v>
      </c>
      <c r="UV1" s="9" t="s">
        <v>829</v>
      </c>
      <c r="UW1" s="9" t="s">
        <v>830</v>
      </c>
      <c r="UX1" s="9" t="s">
        <v>831</v>
      </c>
      <c r="UY1" s="9" t="s">
        <v>832</v>
      </c>
      <c r="UZ1" s="9" t="s">
        <v>833</v>
      </c>
      <c r="VA1" s="9" t="s">
        <v>834</v>
      </c>
      <c r="VB1" s="9" t="s">
        <v>835</v>
      </c>
      <c r="VC1" s="9" t="s">
        <v>836</v>
      </c>
      <c r="VD1" s="9" t="s">
        <v>837</v>
      </c>
      <c r="VE1" s="9" t="s">
        <v>838</v>
      </c>
      <c r="VF1" s="9" t="s">
        <v>839</v>
      </c>
      <c r="VG1" s="9" t="s">
        <v>840</v>
      </c>
      <c r="VH1" s="9" t="s">
        <v>841</v>
      </c>
      <c r="VI1" s="9" t="s">
        <v>842</v>
      </c>
      <c r="VJ1" s="9" t="s">
        <v>843</v>
      </c>
      <c r="VK1" s="9" t="s">
        <v>844</v>
      </c>
      <c r="VL1" s="9" t="s">
        <v>845</v>
      </c>
      <c r="VM1" s="9" t="s">
        <v>846</v>
      </c>
      <c r="VN1" s="9" t="s">
        <v>847</v>
      </c>
      <c r="VO1" s="9" t="s">
        <v>848</v>
      </c>
      <c r="VP1" s="9" t="s">
        <v>849</v>
      </c>
      <c r="VQ1" s="9" t="s">
        <v>850</v>
      </c>
      <c r="VR1" s="9" t="s">
        <v>851</v>
      </c>
      <c r="VS1" s="9" t="s">
        <v>852</v>
      </c>
      <c r="VT1" s="9" t="s">
        <v>853</v>
      </c>
      <c r="VU1" s="9" t="s">
        <v>854</v>
      </c>
      <c r="VV1" s="9" t="s">
        <v>855</v>
      </c>
      <c r="VW1" s="9" t="s">
        <v>856</v>
      </c>
      <c r="VX1" s="9" t="s">
        <v>857</v>
      </c>
      <c r="VY1" s="9" t="s">
        <v>858</v>
      </c>
      <c r="VZ1" s="9" t="s">
        <v>859</v>
      </c>
      <c r="WA1" s="9" t="s">
        <v>860</v>
      </c>
      <c r="WB1" s="9" t="s">
        <v>861</v>
      </c>
      <c r="WC1" s="9" t="s">
        <v>862</v>
      </c>
      <c r="WD1" s="9" t="s">
        <v>863</v>
      </c>
      <c r="WE1" s="9" t="s">
        <v>864</v>
      </c>
      <c r="WF1" s="9" t="s">
        <v>865</v>
      </c>
      <c r="WG1" s="9" t="s">
        <v>866</v>
      </c>
      <c r="WH1" s="9" t="s">
        <v>867</v>
      </c>
      <c r="WI1" s="9" t="s">
        <v>868</v>
      </c>
      <c r="WJ1" s="9" t="s">
        <v>869</v>
      </c>
      <c r="WK1" s="9" t="s">
        <v>870</v>
      </c>
      <c r="WL1" s="9" t="s">
        <v>871</v>
      </c>
      <c r="WM1" s="9" t="s">
        <v>872</v>
      </c>
      <c r="WN1" s="9" t="s">
        <v>873</v>
      </c>
      <c r="WO1" s="9" t="s">
        <v>874</v>
      </c>
      <c r="WP1" s="9" t="s">
        <v>875</v>
      </c>
      <c r="WQ1" s="9" t="s">
        <v>876</v>
      </c>
      <c r="WR1" s="9" t="s">
        <v>877</v>
      </c>
      <c r="WS1" s="9" t="s">
        <v>878</v>
      </c>
      <c r="WT1" s="9" t="s">
        <v>879</v>
      </c>
      <c r="WU1" s="9" t="s">
        <v>880</v>
      </c>
      <c r="WV1" s="9" t="s">
        <v>881</v>
      </c>
      <c r="WW1" s="9" t="s">
        <v>882</v>
      </c>
      <c r="WX1" s="9" t="s">
        <v>883</v>
      </c>
      <c r="WY1" s="9" t="s">
        <v>884</v>
      </c>
      <c r="WZ1" s="9" t="s">
        <v>885</v>
      </c>
      <c r="XA1" s="9" t="s">
        <v>886</v>
      </c>
      <c r="XB1" s="9" t="s">
        <v>887</v>
      </c>
      <c r="XC1" s="9" t="s">
        <v>888</v>
      </c>
      <c r="XD1" s="9" t="s">
        <v>889</v>
      </c>
      <c r="XE1" s="9" t="s">
        <v>890</v>
      </c>
      <c r="XF1" s="9" t="s">
        <v>891</v>
      </c>
      <c r="XG1" s="9" t="s">
        <v>892</v>
      </c>
      <c r="XH1" s="9" t="s">
        <v>893</v>
      </c>
      <c r="XI1" s="9" t="s">
        <v>894</v>
      </c>
      <c r="XJ1" s="9" t="s">
        <v>895</v>
      </c>
      <c r="XK1" s="9" t="s">
        <v>896</v>
      </c>
      <c r="XL1" s="9" t="s">
        <v>897</v>
      </c>
      <c r="XM1" s="9" t="s">
        <v>898</v>
      </c>
      <c r="XN1" s="9" t="s">
        <v>899</v>
      </c>
      <c r="XO1" s="9" t="s">
        <v>900</v>
      </c>
      <c r="XP1" s="9" t="s">
        <v>901</v>
      </c>
      <c r="XQ1" s="9" t="s">
        <v>902</v>
      </c>
      <c r="XR1" s="9" t="s">
        <v>903</v>
      </c>
      <c r="XS1" s="9" t="s">
        <v>904</v>
      </c>
      <c r="XT1" s="9" t="s">
        <v>905</v>
      </c>
      <c r="XU1" s="9" t="s">
        <v>906</v>
      </c>
      <c r="XV1" s="9" t="s">
        <v>907</v>
      </c>
      <c r="XW1" s="9" t="s">
        <v>908</v>
      </c>
      <c r="XX1" s="9" t="s">
        <v>909</v>
      </c>
      <c r="XY1" s="9" t="s">
        <v>910</v>
      </c>
      <c r="XZ1" s="9" t="s">
        <v>911</v>
      </c>
      <c r="YA1" s="9" t="s">
        <v>912</v>
      </c>
      <c r="YB1" s="9" t="s">
        <v>913</v>
      </c>
      <c r="YC1" s="9" t="s">
        <v>914</v>
      </c>
      <c r="YD1" s="9" t="s">
        <v>915</v>
      </c>
      <c r="YE1" s="9" t="s">
        <v>916</v>
      </c>
      <c r="YF1" s="9" t="s">
        <v>917</v>
      </c>
      <c r="YG1" s="9" t="s">
        <v>918</v>
      </c>
      <c r="YH1" s="9" t="s">
        <v>919</v>
      </c>
      <c r="YI1" s="9" t="s">
        <v>920</v>
      </c>
      <c r="YJ1" s="9" t="s">
        <v>921</v>
      </c>
      <c r="YK1" s="9" t="s">
        <v>922</v>
      </c>
      <c r="YL1" s="9" t="s">
        <v>923</v>
      </c>
      <c r="YM1" s="9" t="s">
        <v>924</v>
      </c>
      <c r="YN1" s="9" t="s">
        <v>925</v>
      </c>
      <c r="YO1" s="9" t="s">
        <v>926</v>
      </c>
      <c r="YP1" s="9" t="s">
        <v>927</v>
      </c>
      <c r="YQ1" s="9" t="s">
        <v>928</v>
      </c>
      <c r="YR1" s="9" t="s">
        <v>929</v>
      </c>
      <c r="YS1" s="9" t="s">
        <v>930</v>
      </c>
      <c r="YT1" s="9" t="s">
        <v>931</v>
      </c>
      <c r="YU1" s="9" t="s">
        <v>932</v>
      </c>
      <c r="YV1" s="9" t="s">
        <v>933</v>
      </c>
      <c r="YW1" s="9" t="s">
        <v>934</v>
      </c>
      <c r="YX1" s="9" t="s">
        <v>935</v>
      </c>
      <c r="YY1" s="9" t="s">
        <v>936</v>
      </c>
      <c r="YZ1" s="9" t="s">
        <v>937</v>
      </c>
      <c r="ZA1" s="9" t="s">
        <v>938</v>
      </c>
      <c r="ZB1" s="9" t="s">
        <v>939</v>
      </c>
      <c r="ZC1" s="9" t="s">
        <v>940</v>
      </c>
      <c r="ZD1" s="9" t="s">
        <v>941</v>
      </c>
      <c r="ZE1" s="9" t="s">
        <v>942</v>
      </c>
      <c r="ZF1" s="9" t="s">
        <v>943</v>
      </c>
      <c r="ZG1" s="9" t="s">
        <v>944</v>
      </c>
      <c r="ZH1" s="9" t="s">
        <v>945</v>
      </c>
      <c r="ZI1" s="9" t="s">
        <v>946</v>
      </c>
      <c r="ZJ1" s="9" t="s">
        <v>947</v>
      </c>
      <c r="ZK1" s="9" t="s">
        <v>948</v>
      </c>
      <c r="ZL1" s="9" t="s">
        <v>949</v>
      </c>
      <c r="ZM1" s="9" t="s">
        <v>950</v>
      </c>
      <c r="ZN1" s="9" t="s">
        <v>951</v>
      </c>
      <c r="ZO1" s="9" t="s">
        <v>952</v>
      </c>
      <c r="ZP1" s="9" t="s">
        <v>953</v>
      </c>
      <c r="ZQ1" s="9" t="s">
        <v>954</v>
      </c>
      <c r="ZR1" s="9" t="s">
        <v>955</v>
      </c>
      <c r="ZS1" s="9" t="s">
        <v>956</v>
      </c>
      <c r="ZT1" s="9" t="s">
        <v>957</v>
      </c>
      <c r="ZU1" s="9" t="s">
        <v>958</v>
      </c>
      <c r="ZV1" s="9" t="s">
        <v>959</v>
      </c>
      <c r="ZW1" s="9" t="s">
        <v>960</v>
      </c>
      <c r="ZX1" s="9" t="s">
        <v>961</v>
      </c>
      <c r="ZY1" s="9" t="s">
        <v>962</v>
      </c>
      <c r="ZZ1" s="9" t="s">
        <v>963</v>
      </c>
      <c r="AAA1" s="9" t="s">
        <v>964</v>
      </c>
      <c r="AAB1" s="9" t="s">
        <v>965</v>
      </c>
      <c r="AAC1" s="9" t="s">
        <v>966</v>
      </c>
      <c r="AAD1" s="9" t="s">
        <v>967</v>
      </c>
      <c r="AAE1" s="9" t="s">
        <v>968</v>
      </c>
      <c r="AAF1" s="9" t="s">
        <v>969</v>
      </c>
      <c r="AAG1" s="9" t="s">
        <v>970</v>
      </c>
      <c r="AAH1" s="9" t="s">
        <v>971</v>
      </c>
      <c r="AAI1" s="9" t="s">
        <v>972</v>
      </c>
      <c r="AAJ1" s="9" t="s">
        <v>973</v>
      </c>
      <c r="AAK1" s="9" t="s">
        <v>974</v>
      </c>
      <c r="AAL1" s="9" t="s">
        <v>975</v>
      </c>
      <c r="AAM1" s="9" t="s">
        <v>976</v>
      </c>
      <c r="AAN1" s="9" t="s">
        <v>977</v>
      </c>
      <c r="AAO1" s="9" t="s">
        <v>978</v>
      </c>
      <c r="AAP1" s="9" t="s">
        <v>979</v>
      </c>
      <c r="AAQ1" s="9" t="s">
        <v>980</v>
      </c>
      <c r="AAR1" s="9" t="s">
        <v>981</v>
      </c>
      <c r="AAS1" s="9" t="s">
        <v>982</v>
      </c>
      <c r="AAT1" s="9" t="s">
        <v>983</v>
      </c>
      <c r="AAU1" s="9" t="s">
        <v>984</v>
      </c>
      <c r="AAV1" s="9" t="s">
        <v>985</v>
      </c>
      <c r="AAW1" s="9" t="s">
        <v>986</v>
      </c>
      <c r="AAX1" s="9" t="s">
        <v>987</v>
      </c>
      <c r="AAY1" s="9" t="s">
        <v>988</v>
      </c>
      <c r="AAZ1" s="9" t="s">
        <v>989</v>
      </c>
      <c r="ABA1" s="9" t="s">
        <v>990</v>
      </c>
      <c r="ABB1" s="9" t="s">
        <v>991</v>
      </c>
      <c r="ABC1" s="9" t="s">
        <v>992</v>
      </c>
      <c r="ABD1" s="9" t="s">
        <v>993</v>
      </c>
      <c r="ABE1" s="9" t="s">
        <v>994</v>
      </c>
      <c r="ABF1" s="9" t="s">
        <v>995</v>
      </c>
      <c r="ABG1" s="9" t="s">
        <v>996</v>
      </c>
      <c r="ABH1" s="9" t="s">
        <v>997</v>
      </c>
      <c r="ABI1" s="9" t="s">
        <v>998</v>
      </c>
      <c r="ABJ1" s="9" t="s">
        <v>999</v>
      </c>
      <c r="ABK1" s="9" t="s">
        <v>1000</v>
      </c>
      <c r="ABL1" s="9" t="s">
        <v>1001</v>
      </c>
      <c r="ABM1" s="9" t="s">
        <v>1002</v>
      </c>
      <c r="ABN1" s="9" t="s">
        <v>1003</v>
      </c>
      <c r="ABO1" s="9" t="s">
        <v>1004</v>
      </c>
      <c r="ABP1" s="9" t="s">
        <v>1005</v>
      </c>
      <c r="ABQ1" s="9" t="s">
        <v>1006</v>
      </c>
      <c r="ABR1" s="9" t="s">
        <v>1007</v>
      </c>
      <c r="ABS1" s="9" t="s">
        <v>1008</v>
      </c>
      <c r="ABT1" s="9" t="s">
        <v>1009</v>
      </c>
      <c r="ABU1" s="9" t="s">
        <v>1010</v>
      </c>
      <c r="ABV1" s="9" t="s">
        <v>1011</v>
      </c>
      <c r="ABW1" s="9" t="s">
        <v>1012</v>
      </c>
      <c r="ABX1" s="9" t="s">
        <v>1013</v>
      </c>
      <c r="ABY1" s="9" t="s">
        <v>1014</v>
      </c>
      <c r="ABZ1" s="9" t="s">
        <v>1015</v>
      </c>
      <c r="ACA1" s="9" t="s">
        <v>1016</v>
      </c>
      <c r="ACB1" s="9" t="s">
        <v>1017</v>
      </c>
      <c r="ACC1" s="9" t="s">
        <v>1018</v>
      </c>
      <c r="ACD1" s="9" t="s">
        <v>1019</v>
      </c>
      <c r="ACE1" s="9" t="s">
        <v>1020</v>
      </c>
      <c r="ACF1" s="9" t="s">
        <v>1021</v>
      </c>
      <c r="ACG1" s="9" t="s">
        <v>1022</v>
      </c>
      <c r="ACH1" s="9" t="s">
        <v>1023</v>
      </c>
      <c r="ACI1" s="9" t="s">
        <v>1024</v>
      </c>
      <c r="ACJ1" s="9" t="s">
        <v>1025</v>
      </c>
      <c r="ACK1" s="9" t="s">
        <v>1026</v>
      </c>
      <c r="ACL1" s="9" t="s">
        <v>1027</v>
      </c>
      <c r="ACM1" s="9" t="s">
        <v>1028</v>
      </c>
      <c r="ACN1" s="9" t="s">
        <v>1029</v>
      </c>
      <c r="ACO1" s="9" t="s">
        <v>1030</v>
      </c>
      <c r="ACP1" s="9" t="s">
        <v>1031</v>
      </c>
      <c r="ACQ1" s="9" t="s">
        <v>1032</v>
      </c>
      <c r="ACR1" s="9" t="s">
        <v>1033</v>
      </c>
      <c r="ACS1" s="9" t="s">
        <v>1034</v>
      </c>
      <c r="ACT1" s="9" t="s">
        <v>1035</v>
      </c>
      <c r="ACU1" s="9" t="s">
        <v>1036</v>
      </c>
      <c r="ACV1" s="9" t="s">
        <v>1037</v>
      </c>
      <c r="ACW1" s="9" t="s">
        <v>1038</v>
      </c>
      <c r="ACX1" s="9" t="s">
        <v>1039</v>
      </c>
      <c r="ACY1" s="9" t="s">
        <v>1040</v>
      </c>
      <c r="ACZ1" s="9" t="s">
        <v>1041</v>
      </c>
      <c r="ADA1" s="9" t="s">
        <v>1042</v>
      </c>
      <c r="ADB1" s="9" t="s">
        <v>1043</v>
      </c>
      <c r="ADC1" s="9" t="s">
        <v>1044</v>
      </c>
      <c r="ADD1" s="9" t="s">
        <v>1045</v>
      </c>
      <c r="ADE1" s="9" t="s">
        <v>1046</v>
      </c>
      <c r="ADF1" s="9" t="s">
        <v>1047</v>
      </c>
      <c r="ADG1" s="9" t="s">
        <v>1048</v>
      </c>
      <c r="ADH1" s="9" t="s">
        <v>1049</v>
      </c>
      <c r="ADI1" s="9" t="s">
        <v>1050</v>
      </c>
      <c r="ADJ1" s="9" t="s">
        <v>1051</v>
      </c>
      <c r="ADK1" s="9" t="s">
        <v>1052</v>
      </c>
      <c r="ADL1" s="9" t="s">
        <v>1053</v>
      </c>
      <c r="ADM1" s="9" t="s">
        <v>1054</v>
      </c>
      <c r="ADN1" s="9" t="s">
        <v>1055</v>
      </c>
      <c r="ADO1" s="9" t="s">
        <v>1056</v>
      </c>
      <c r="ADP1" s="9" t="s">
        <v>1057</v>
      </c>
      <c r="ADQ1" s="9" t="s">
        <v>1058</v>
      </c>
      <c r="ADR1" s="9" t="s">
        <v>1059</v>
      </c>
      <c r="ADS1" s="9" t="s">
        <v>1060</v>
      </c>
      <c r="ADT1" s="9" t="s">
        <v>1061</v>
      </c>
      <c r="ADU1" s="9" t="s">
        <v>1062</v>
      </c>
      <c r="ADV1" s="9" t="s">
        <v>1063</v>
      </c>
      <c r="ADW1" s="9" t="s">
        <v>1064</v>
      </c>
      <c r="ADX1" s="9" t="s">
        <v>1065</v>
      </c>
      <c r="ADY1" s="9" t="s">
        <v>1066</v>
      </c>
      <c r="ADZ1" s="9" t="s">
        <v>1067</v>
      </c>
      <c r="AEA1" s="9" t="s">
        <v>1068</v>
      </c>
      <c r="AEB1" s="9" t="s">
        <v>1069</v>
      </c>
      <c r="AEC1" s="9" t="s">
        <v>1070</v>
      </c>
      <c r="AED1" s="9" t="s">
        <v>1071</v>
      </c>
      <c r="AEE1" s="9" t="s">
        <v>1072</v>
      </c>
      <c r="AEF1" s="9" t="s">
        <v>1073</v>
      </c>
      <c r="AEG1" s="9" t="s">
        <v>1074</v>
      </c>
      <c r="AEH1" s="9" t="s">
        <v>1075</v>
      </c>
      <c r="AEI1" s="9" t="s">
        <v>1076</v>
      </c>
      <c r="AEJ1" s="9" t="s">
        <v>1077</v>
      </c>
      <c r="AEK1" s="9" t="s">
        <v>1078</v>
      </c>
      <c r="AEL1" s="9" t="s">
        <v>1079</v>
      </c>
      <c r="AEM1" s="9" t="s">
        <v>1080</v>
      </c>
      <c r="AEN1" s="9" t="s">
        <v>1081</v>
      </c>
      <c r="AEO1" s="9" t="s">
        <v>1082</v>
      </c>
      <c r="AEP1" s="9" t="s">
        <v>1083</v>
      </c>
      <c r="AEQ1" s="9" t="s">
        <v>1084</v>
      </c>
      <c r="AER1" s="9" t="s">
        <v>1085</v>
      </c>
      <c r="AES1" s="9" t="s">
        <v>1086</v>
      </c>
      <c r="AET1" s="9" t="s">
        <v>1087</v>
      </c>
      <c r="AEU1" s="9" t="s">
        <v>1088</v>
      </c>
      <c r="AEV1" s="9" t="s">
        <v>1089</v>
      </c>
      <c r="AEW1" s="9" t="s">
        <v>1090</v>
      </c>
      <c r="AEX1" s="9" t="s">
        <v>1091</v>
      </c>
      <c r="AEY1" s="9" t="s">
        <v>1092</v>
      </c>
      <c r="AEZ1" s="9" t="s">
        <v>1093</v>
      </c>
      <c r="AFA1" s="9" t="s">
        <v>1094</v>
      </c>
      <c r="AFB1" s="9" t="s">
        <v>1095</v>
      </c>
      <c r="AFC1" s="9" t="s">
        <v>1096</v>
      </c>
      <c r="AFD1" s="9" t="s">
        <v>1097</v>
      </c>
      <c r="AFE1" s="9" t="s">
        <v>1098</v>
      </c>
      <c r="AFF1" s="9" t="s">
        <v>1099</v>
      </c>
      <c r="AFG1" s="9" t="s">
        <v>1100</v>
      </c>
      <c r="AFH1" s="9" t="s">
        <v>1101</v>
      </c>
      <c r="AFI1" s="9" t="s">
        <v>1102</v>
      </c>
      <c r="AFJ1" s="9" t="s">
        <v>1103</v>
      </c>
      <c r="AFK1" s="9" t="s">
        <v>1104</v>
      </c>
      <c r="AFL1" s="9" t="s">
        <v>1105</v>
      </c>
      <c r="AFM1" s="9" t="s">
        <v>1106</v>
      </c>
      <c r="AFN1" s="9" t="s">
        <v>1107</v>
      </c>
      <c r="AFO1" s="9" t="s">
        <v>1108</v>
      </c>
      <c r="AFP1" s="9" t="s">
        <v>1109</v>
      </c>
      <c r="AFQ1" s="9" t="s">
        <v>1110</v>
      </c>
      <c r="AFR1" s="9" t="s">
        <v>1111</v>
      </c>
      <c r="AFS1" s="9" t="s">
        <v>1112</v>
      </c>
      <c r="AFT1" s="9" t="s">
        <v>1113</v>
      </c>
      <c r="AFU1" s="9" t="s">
        <v>1114</v>
      </c>
      <c r="AFV1" s="9" t="s">
        <v>1115</v>
      </c>
      <c r="AFW1" s="9" t="s">
        <v>1116</v>
      </c>
      <c r="AFX1" s="9" t="s">
        <v>1117</v>
      </c>
      <c r="AFY1" s="9" t="s">
        <v>1118</v>
      </c>
      <c r="AFZ1" s="9" t="s">
        <v>1119</v>
      </c>
      <c r="AGA1" s="9" t="s">
        <v>1120</v>
      </c>
      <c r="AGB1" s="9" t="s">
        <v>1121</v>
      </c>
      <c r="AGC1" s="9" t="s">
        <v>1122</v>
      </c>
      <c r="AGD1" s="9" t="s">
        <v>1123</v>
      </c>
      <c r="AGE1" s="9" t="s">
        <v>1124</v>
      </c>
      <c r="AGF1" s="9" t="s">
        <v>1125</v>
      </c>
      <c r="AGG1" s="9" t="s">
        <v>1126</v>
      </c>
      <c r="AGH1" s="9" t="s">
        <v>1127</v>
      </c>
      <c r="AGI1" s="9" t="s">
        <v>1128</v>
      </c>
      <c r="AGJ1" s="9" t="s">
        <v>1129</v>
      </c>
      <c r="AGK1" s="9" t="s">
        <v>1130</v>
      </c>
      <c r="AGL1" s="9" t="s">
        <v>1131</v>
      </c>
      <c r="AGM1" s="9" t="s">
        <v>1132</v>
      </c>
      <c r="AGN1" s="9" t="s">
        <v>1133</v>
      </c>
      <c r="AGO1" s="9" t="s">
        <v>1134</v>
      </c>
      <c r="AGP1" s="9" t="s">
        <v>1135</v>
      </c>
      <c r="AGQ1" s="9" t="s">
        <v>1136</v>
      </c>
      <c r="AGR1" s="9" t="s">
        <v>1137</v>
      </c>
      <c r="AGS1" s="9" t="s">
        <v>1138</v>
      </c>
      <c r="AGT1" s="9" t="s">
        <v>1139</v>
      </c>
      <c r="AGU1" s="9" t="s">
        <v>1140</v>
      </c>
      <c r="AGV1" s="9" t="s">
        <v>1141</v>
      </c>
      <c r="AGW1" s="9" t="s">
        <v>1142</v>
      </c>
      <c r="AGX1" s="9" t="s">
        <v>1143</v>
      </c>
      <c r="AGY1" s="9" t="s">
        <v>1144</v>
      </c>
      <c r="AGZ1" s="9" t="s">
        <v>1145</v>
      </c>
      <c r="AHA1" s="9" t="s">
        <v>1146</v>
      </c>
      <c r="AHB1" s="9" t="s">
        <v>1147</v>
      </c>
      <c r="AHC1" s="9" t="s">
        <v>1148</v>
      </c>
      <c r="AHD1" s="9" t="s">
        <v>1149</v>
      </c>
      <c r="AHE1" s="9" t="s">
        <v>1150</v>
      </c>
      <c r="AHF1" s="9" t="s">
        <v>1151</v>
      </c>
      <c r="AHG1" s="9" t="s">
        <v>1152</v>
      </c>
      <c r="AHH1" s="9" t="s">
        <v>1153</v>
      </c>
      <c r="AHI1" s="9" t="s">
        <v>1154</v>
      </c>
      <c r="AHJ1" s="9" t="s">
        <v>1155</v>
      </c>
      <c r="AHK1" s="9" t="s">
        <v>1156</v>
      </c>
      <c r="AHL1" s="9" t="s">
        <v>1157</v>
      </c>
      <c r="AHM1" s="9" t="s">
        <v>1158</v>
      </c>
      <c r="AHN1" s="9" t="s">
        <v>1159</v>
      </c>
      <c r="AHO1" s="9" t="s">
        <v>1160</v>
      </c>
      <c r="AHP1" s="9" t="s">
        <v>1161</v>
      </c>
      <c r="AHQ1" s="9" t="s">
        <v>1162</v>
      </c>
      <c r="AHR1" s="9" t="s">
        <v>1163</v>
      </c>
      <c r="AHS1" s="9" t="s">
        <v>1164</v>
      </c>
      <c r="AHT1" s="9" t="s">
        <v>1165</v>
      </c>
      <c r="AHU1" s="9" t="s">
        <v>1166</v>
      </c>
      <c r="AHV1" s="9" t="s">
        <v>1167</v>
      </c>
      <c r="AHW1" s="9" t="s">
        <v>1168</v>
      </c>
      <c r="AHX1" s="9" t="s">
        <v>1169</v>
      </c>
      <c r="AHY1" s="9" t="s">
        <v>1170</v>
      </c>
      <c r="AHZ1" s="9" t="s">
        <v>1171</v>
      </c>
      <c r="AIA1" s="9" t="s">
        <v>1172</v>
      </c>
      <c r="AIB1" s="9" t="s">
        <v>1173</v>
      </c>
      <c r="AIC1" s="9" t="s">
        <v>1174</v>
      </c>
      <c r="AID1" s="9" t="s">
        <v>1175</v>
      </c>
      <c r="AIE1" s="9" t="s">
        <v>1176</v>
      </c>
      <c r="AIF1" s="9" t="s">
        <v>1177</v>
      </c>
      <c r="AIG1" s="9" t="s">
        <v>1178</v>
      </c>
      <c r="AIH1" s="9" t="s">
        <v>1179</v>
      </c>
      <c r="AII1" s="9" t="s">
        <v>1180</v>
      </c>
      <c r="AIJ1" s="9" t="s">
        <v>1181</v>
      </c>
      <c r="AIK1" s="9" t="s">
        <v>1182</v>
      </c>
      <c r="AIL1" s="9" t="s">
        <v>1183</v>
      </c>
      <c r="AIM1" s="9" t="s">
        <v>1184</v>
      </c>
      <c r="AIN1" s="9" t="s">
        <v>1185</v>
      </c>
      <c r="AIO1" s="9" t="s">
        <v>1186</v>
      </c>
      <c r="AIP1" s="9" t="s">
        <v>1187</v>
      </c>
      <c r="AIQ1" s="9" t="s">
        <v>1188</v>
      </c>
      <c r="AIR1" s="9" t="s">
        <v>1189</v>
      </c>
      <c r="AIS1" s="9" t="s">
        <v>1190</v>
      </c>
      <c r="AIT1" s="9" t="s">
        <v>1191</v>
      </c>
      <c r="AIU1" s="9" t="s">
        <v>1192</v>
      </c>
      <c r="AIV1" s="9" t="s">
        <v>1193</v>
      </c>
      <c r="AIW1" s="9" t="s">
        <v>1194</v>
      </c>
      <c r="AIX1" s="9" t="s">
        <v>1195</v>
      </c>
      <c r="AIY1" s="9" t="s">
        <v>1196</v>
      </c>
      <c r="AIZ1" s="9" t="s">
        <v>1197</v>
      </c>
      <c r="AJA1" s="9" t="s">
        <v>1198</v>
      </c>
      <c r="AJB1" s="9" t="s">
        <v>1199</v>
      </c>
      <c r="AJC1" s="9" t="s">
        <v>1200</v>
      </c>
      <c r="AJD1" s="9" t="s">
        <v>1201</v>
      </c>
      <c r="AJE1" s="9" t="s">
        <v>1202</v>
      </c>
      <c r="AJF1" s="9" t="s">
        <v>1203</v>
      </c>
      <c r="AJG1" s="9" t="s">
        <v>1204</v>
      </c>
      <c r="AJH1" s="9" t="s">
        <v>1205</v>
      </c>
      <c r="AJI1" s="9" t="s">
        <v>1206</v>
      </c>
      <c r="AJJ1" s="9" t="s">
        <v>1207</v>
      </c>
      <c r="AJK1" s="9" t="s">
        <v>1208</v>
      </c>
      <c r="AJL1" s="9" t="s">
        <v>1209</v>
      </c>
      <c r="AJM1" s="9" t="s">
        <v>1210</v>
      </c>
      <c r="AJN1" s="9" t="s">
        <v>1211</v>
      </c>
      <c r="AJO1" s="9" t="s">
        <v>1212</v>
      </c>
      <c r="AJP1" s="9" t="s">
        <v>1213</v>
      </c>
      <c r="AJQ1" s="9" t="s">
        <v>1214</v>
      </c>
      <c r="AJR1" s="9" t="s">
        <v>1215</v>
      </c>
      <c r="AJS1" s="9" t="s">
        <v>1216</v>
      </c>
      <c r="AJT1" s="9" t="s">
        <v>1217</v>
      </c>
      <c r="AJU1" s="9" t="s">
        <v>1218</v>
      </c>
      <c r="AJV1" s="9" t="s">
        <v>1219</v>
      </c>
      <c r="AJW1" s="9" t="s">
        <v>1220</v>
      </c>
      <c r="AJX1" s="9" t="s">
        <v>1221</v>
      </c>
      <c r="AJY1" s="9" t="s">
        <v>1222</v>
      </c>
      <c r="AJZ1" s="9" t="s">
        <v>1223</v>
      </c>
      <c r="AKA1" s="9" t="s">
        <v>1224</v>
      </c>
      <c r="AKB1" s="9" t="s">
        <v>1225</v>
      </c>
      <c r="AKC1" s="9" t="s">
        <v>1226</v>
      </c>
      <c r="AKD1" s="9" t="s">
        <v>1227</v>
      </c>
      <c r="AKE1" s="9" t="s">
        <v>1228</v>
      </c>
      <c r="AKF1" s="9" t="s">
        <v>1229</v>
      </c>
      <c r="AKG1" s="9" t="s">
        <v>1230</v>
      </c>
      <c r="AKH1" s="9" t="s">
        <v>1231</v>
      </c>
      <c r="AKI1" s="9" t="s">
        <v>1232</v>
      </c>
      <c r="AKJ1" s="9" t="s">
        <v>1233</v>
      </c>
      <c r="AKK1" s="9" t="s">
        <v>1234</v>
      </c>
      <c r="AKL1" s="9" t="s">
        <v>1235</v>
      </c>
      <c r="AKM1" s="9" t="s">
        <v>1236</v>
      </c>
      <c r="AKN1" s="9" t="s">
        <v>1237</v>
      </c>
      <c r="AKO1" s="9" t="s">
        <v>1238</v>
      </c>
      <c r="AKP1" s="9" t="s">
        <v>1239</v>
      </c>
      <c r="AKQ1" s="9" t="s">
        <v>1240</v>
      </c>
      <c r="AKR1" s="9" t="s">
        <v>1241</v>
      </c>
      <c r="AKS1" s="9" t="s">
        <v>1242</v>
      </c>
      <c r="AKT1" s="9" t="s">
        <v>1243</v>
      </c>
      <c r="AKU1" s="9" t="s">
        <v>1244</v>
      </c>
      <c r="AKV1" s="9" t="s">
        <v>1245</v>
      </c>
      <c r="AKW1" s="9" t="s">
        <v>1246</v>
      </c>
      <c r="AKX1" s="9" t="s">
        <v>1247</v>
      </c>
      <c r="AKY1" s="9" t="s">
        <v>1248</v>
      </c>
      <c r="AKZ1" s="9" t="s">
        <v>1249</v>
      </c>
      <c r="ALA1" s="9" t="s">
        <v>1250</v>
      </c>
      <c r="ALB1" s="9" t="s">
        <v>1251</v>
      </c>
      <c r="ALC1" s="9" t="s">
        <v>1252</v>
      </c>
      <c r="ALD1" s="9" t="s">
        <v>1253</v>
      </c>
      <c r="ALE1" s="9" t="s">
        <v>1254</v>
      </c>
      <c r="ALF1" s="9" t="s">
        <v>1255</v>
      </c>
      <c r="ALG1" s="9" t="s">
        <v>1256</v>
      </c>
      <c r="ALH1" s="9" t="s">
        <v>1257</v>
      </c>
      <c r="ALI1" s="9" t="s">
        <v>1258</v>
      </c>
      <c r="ALJ1" s="9" t="s">
        <v>1259</v>
      </c>
      <c r="ALK1" s="9" t="s">
        <v>1260</v>
      </c>
      <c r="ALL1" s="9" t="s">
        <v>1261</v>
      </c>
      <c r="ALM1" s="9" t="s">
        <v>1262</v>
      </c>
      <c r="ALN1" s="9" t="s">
        <v>1263</v>
      </c>
      <c r="ALO1" s="9" t="s">
        <v>1264</v>
      </c>
      <c r="ALP1" s="9" t="s">
        <v>1265</v>
      </c>
      <c r="ALQ1" s="9" t="s">
        <v>1266</v>
      </c>
      <c r="ALR1" s="9" t="s">
        <v>1267</v>
      </c>
      <c r="ALS1" s="9" t="s">
        <v>1268</v>
      </c>
      <c r="ALT1" s="9" t="s">
        <v>1269</v>
      </c>
      <c r="ALU1" s="9" t="s">
        <v>1270</v>
      </c>
      <c r="ALV1" s="9" t="s">
        <v>1271</v>
      </c>
      <c r="ALW1" s="9" t="s">
        <v>1272</v>
      </c>
      <c r="ALX1" s="9" t="s">
        <v>1273</v>
      </c>
      <c r="ALY1" s="9" t="s">
        <v>1274</v>
      </c>
      <c r="ALZ1" s="9" t="s">
        <v>1275</v>
      </c>
      <c r="AMA1" s="9" t="s">
        <v>1276</v>
      </c>
      <c r="AMB1" s="9" t="s">
        <v>1277</v>
      </c>
      <c r="AMC1" s="9" t="s">
        <v>1278</v>
      </c>
      <c r="AMD1" s="9" t="s">
        <v>1279</v>
      </c>
      <c r="AME1" s="9" t="s">
        <v>1280</v>
      </c>
      <c r="AMF1" s="9" t="s">
        <v>1281</v>
      </c>
      <c r="AMG1" s="9" t="s">
        <v>1282</v>
      </c>
      <c r="AMH1" s="9" t="s">
        <v>1283</v>
      </c>
      <c r="AMI1" s="9" t="s">
        <v>1284</v>
      </c>
      <c r="AMJ1" s="9" t="s">
        <v>1285</v>
      </c>
      <c r="AMK1" s="9" t="s">
        <v>1286</v>
      </c>
      <c r="AML1" s="9" t="s">
        <v>1287</v>
      </c>
      <c r="AMM1" s="9" t="s">
        <v>1288</v>
      </c>
      <c r="AMN1" s="9" t="s">
        <v>1289</v>
      </c>
      <c r="AMO1" s="9" t="s">
        <v>1290</v>
      </c>
      <c r="AMP1" s="9" t="s">
        <v>1291</v>
      </c>
      <c r="AMQ1" s="9" t="s">
        <v>1292</v>
      </c>
      <c r="AMR1" s="9" t="s">
        <v>1293</v>
      </c>
      <c r="AMS1" s="9" t="s">
        <v>1294</v>
      </c>
      <c r="AMT1" s="9" t="s">
        <v>1295</v>
      </c>
      <c r="AMU1" s="9" t="s">
        <v>1296</v>
      </c>
      <c r="AMV1" s="9" t="s">
        <v>1297</v>
      </c>
      <c r="AMW1" s="9" t="s">
        <v>1298</v>
      </c>
      <c r="AMX1" s="9" t="s">
        <v>1299</v>
      </c>
      <c r="AMY1" s="9" t="s">
        <v>1300</v>
      </c>
      <c r="AMZ1" s="9" t="s">
        <v>1301</v>
      </c>
      <c r="ANA1" s="9" t="s">
        <v>1302</v>
      </c>
      <c r="ANB1" s="9" t="s">
        <v>1303</v>
      </c>
      <c r="ANC1" s="9" t="s">
        <v>1304</v>
      </c>
      <c r="AND1" s="9" t="s">
        <v>1305</v>
      </c>
      <c r="ANE1" s="9" t="s">
        <v>1306</v>
      </c>
      <c r="ANF1" s="9" t="s">
        <v>1307</v>
      </c>
      <c r="ANG1" s="9" t="s">
        <v>1308</v>
      </c>
      <c r="ANH1" s="9" t="s">
        <v>1309</v>
      </c>
      <c r="ANI1" s="9" t="s">
        <v>1310</v>
      </c>
      <c r="ANJ1" s="9" t="s">
        <v>1311</v>
      </c>
      <c r="ANK1" s="9" t="s">
        <v>1312</v>
      </c>
      <c r="ANL1" s="9" t="s">
        <v>1313</v>
      </c>
      <c r="ANM1" s="9" t="s">
        <v>1314</v>
      </c>
      <c r="ANN1" s="9" t="s">
        <v>1315</v>
      </c>
      <c r="ANO1" s="9" t="s">
        <v>1316</v>
      </c>
      <c r="ANP1" s="9" t="s">
        <v>1317</v>
      </c>
      <c r="ANQ1" s="9" t="s">
        <v>1318</v>
      </c>
      <c r="ANR1" s="9" t="s">
        <v>1319</v>
      </c>
      <c r="ANS1" s="9" t="s">
        <v>1320</v>
      </c>
      <c r="ANT1" s="9" t="s">
        <v>1321</v>
      </c>
      <c r="ANU1" s="9" t="s">
        <v>1322</v>
      </c>
    </row>
    <row r="2" spans="1:1061" x14ac:dyDescent="0.3">
      <c r="A2" s="6" t="s">
        <v>23</v>
      </c>
      <c r="B2" s="5" t="str" cm="1">
        <f t="array" ref="B2:AL2">TRANSPOSE(A3:A39)</f>
        <v xml:space="preserve">57 La Croisette, 06400 Cannes </v>
      </c>
      <c r="C2" s="5" t="str">
        <v xml:space="preserve">4 avenue de Verdun, 06000 Nice </v>
      </c>
      <c r="D2" s="5" t="str">
        <v>Monaco</v>
      </c>
      <c r="E2" s="5" t="str">
        <v>ROSHEIM 67560. France</v>
      </c>
      <c r="F2" s="5" t="str">
        <v>1 Rue René Dumont. Vierzon 18100. France</v>
      </c>
      <c r="G2" s="5" t="str">
        <v>44 avenue Occitanie. SAINT MAUR 36250. France</v>
      </c>
      <c r="H2" s="5" t="str">
        <v>L'Aumône. MUR DE SOLOGNE 41230. France</v>
      </c>
      <c r="I2" s="5" t="str">
        <v>1 Rue du Boisillon. ZI des Châtelets. Ploufragan 22440. France</v>
      </c>
      <c r="J2" s="5" t="str">
        <v>5. rue de la Motte. LUCE 28110. France</v>
      </c>
      <c r="K2" s="5" t="str">
        <v>Bourges 18000. France</v>
      </c>
      <c r="L2" s="5" t="str">
        <v>12 rue du Rocher. Saint-Barthélemy-d'Anjou 49184. France</v>
      </c>
      <c r="M2" s="5" t="str">
        <v>Chaingy 45380. France</v>
      </c>
      <c r="N2" s="5" t="str">
        <v>20 rue Archimède. Hennebont 56700. France</v>
      </c>
      <c r="O2" s="5" t="str">
        <v>16 rue Léon Berthault. Rennes 35039. France</v>
      </c>
      <c r="P2" s="5" t="str">
        <v>17. boulevard de la Millière. Marseille 13011. France</v>
      </c>
      <c r="Q2" s="5" t="str">
        <v>101 Avenue Ibrahim Ali. Marseille 13015. France</v>
      </c>
      <c r="R2" s="5" t="str">
        <v>48. route de l'Ile Saint-Julien. Bonneuil-sur-Marne 94380. France</v>
      </c>
      <c r="S2" s="5" t="str">
        <v>ZI du Trousset. Saint-Jean de Braye 45800. France</v>
      </c>
      <c r="T2" s="5" t="str">
        <v>1 Cité Nouvelle. Trignac 44570. France</v>
      </c>
      <c r="U2" s="5" t="str">
        <v>1 Rue Louis Blériot Bègles 33130. France</v>
      </c>
      <c r="V2" s="5" t="str">
        <v>1 Rue Gustave Eiffel. Bergerac 24100. France</v>
      </c>
      <c r="W2" s="5" t="str">
        <v>Brimont. Boé 47550. France</v>
      </c>
      <c r="X2" s="5" t="str">
        <v>Avenue du Mistral. La Ciotat 13600. France</v>
      </c>
      <c r="Y2" s="5" t="str">
        <v>209. avenue de la Roudet. Libourne 33500. France</v>
      </c>
      <c r="Z2" s="5" t="str">
        <v>45. Avenue Frédéric et Irène Joliot Curie. Lons 64140. France</v>
      </c>
      <c r="AA2" s="5" t="str">
        <v>18 chemin Fenouillet. Toulouse 31200. France</v>
      </c>
      <c r="AB2" s="5" t="str">
        <v>165 rue Alphonse Penaud. GUIPAVAS 29990. France</v>
      </c>
      <c r="AC2" s="5" t="str">
        <v>1 Rue du Fief. Amiens 80046. France</v>
      </c>
      <c r="AD2" s="5" t="str">
        <v>Cité navale. Couëron 44220. France</v>
      </c>
      <c r="AE2" s="5" t="str">
        <v>1 Rue Benoit Perret. Albens 73410. France</v>
      </c>
      <c r="AF2" s="5" t="str">
        <v>1 rue Benjamin Franklin. Gerzat 63360. France</v>
      </c>
      <c r="AG2" s="5" t="str">
        <v>La Bargette. St Priest en Jarez 42270. France</v>
      </c>
      <c r="AH2" s="5" t="str">
        <v>59 rue de l'Ile Gabourd. Voreppe 38340. France</v>
      </c>
      <c r="AI2" s="5" t="str">
        <v>51490 Beine-Nauroy</v>
      </c>
      <c r="AJ2" s="5" t="str">
        <v>1 Rue des Frères Lumière. Zone Portuaire Nord. Chalon sur Saône 71100. France</v>
      </c>
      <c r="AK2" s="5" t="str">
        <v>258 avenue René Jacot. Etupes 25460. France</v>
      </c>
      <c r="AL2" s="5" t="str">
        <v>Impasse des Taupières. Nevers 58000. France</v>
      </c>
      <c r="AM2" s="5"/>
      <c r="AN2" s="5"/>
      <c r="AO2" s="5"/>
      <c r="AP2" s="5"/>
      <c r="AQ2" s="5"/>
      <c r="AR2" s="5"/>
      <c r="AS2" s="5"/>
      <c r="AT2" s="5"/>
    </row>
    <row r="3" spans="1:1061" x14ac:dyDescent="0.3">
      <c r="A3" s="32" t="s">
        <v>1438</v>
      </c>
      <c r="B3" s="5">
        <v>0</v>
      </c>
      <c r="C3" s="5">
        <v>34.744</v>
      </c>
      <c r="D3" s="5">
        <v>57.637</v>
      </c>
      <c r="E3" s="5">
        <v>802.29399999999998</v>
      </c>
      <c r="F3" s="5">
        <v>805.84</v>
      </c>
      <c r="G3" s="5">
        <v>803.428</v>
      </c>
      <c r="H3" s="5">
        <v>856.94299999999998</v>
      </c>
      <c r="I3" s="5">
        <v>1282.7</v>
      </c>
      <c r="J3" s="5">
        <v>960.82299999999998</v>
      </c>
      <c r="K3" s="5">
        <v>784.26300000000003</v>
      </c>
      <c r="L3" s="5">
        <v>1042.0150000000001</v>
      </c>
      <c r="M3" s="5">
        <v>894.46199999999999</v>
      </c>
      <c r="N3" s="5">
        <v>1276.8699999999999</v>
      </c>
      <c r="O3" s="5">
        <v>1186.3240000000001</v>
      </c>
      <c r="P3" s="5">
        <v>172.91800000000001</v>
      </c>
      <c r="Q3" s="5">
        <v>171.404</v>
      </c>
      <c r="R3" s="5">
        <v>910.94299999999998</v>
      </c>
      <c r="S3" s="5">
        <v>902.21400000000006</v>
      </c>
      <c r="T3" s="5">
        <v>1176.3579999999999</v>
      </c>
      <c r="U3" s="5">
        <v>773.90899999999999</v>
      </c>
      <c r="V3" s="5">
        <v>747.89700000000005</v>
      </c>
      <c r="W3" s="5">
        <v>652.05399999999997</v>
      </c>
      <c r="X3" s="5">
        <v>165.185</v>
      </c>
      <c r="Y3" s="5">
        <v>814.44799999999998</v>
      </c>
      <c r="Z3" s="5">
        <v>731.80200000000002</v>
      </c>
      <c r="AA3" s="5">
        <v>546.66300000000001</v>
      </c>
      <c r="AB3" s="5">
        <v>1412.1780000000001</v>
      </c>
      <c r="AC3" s="5">
        <v>1062.4290000000001</v>
      </c>
      <c r="AD3" s="5">
        <v>1133.1210000000001</v>
      </c>
      <c r="AE3" s="5">
        <v>536.37199999999996</v>
      </c>
      <c r="AF3" s="5">
        <v>604.79300000000001</v>
      </c>
      <c r="AG3" s="5">
        <v>468.99700000000001</v>
      </c>
      <c r="AH3" s="5">
        <v>427.90699999999998</v>
      </c>
      <c r="AI3" s="5">
        <v>940.77</v>
      </c>
      <c r="AJ3" s="5">
        <v>571.69899999999996</v>
      </c>
      <c r="AK3" s="5">
        <v>770.33600000000001</v>
      </c>
      <c r="AL3" s="5">
        <v>705.80899999999997</v>
      </c>
      <c r="AM3" s="5"/>
      <c r="AN3" s="5"/>
      <c r="AO3" s="5"/>
      <c r="AP3" s="5"/>
      <c r="AQ3" s="5"/>
      <c r="AR3" s="5"/>
      <c r="AS3" s="5"/>
      <c r="AT3" s="5"/>
    </row>
    <row r="4" spans="1:1061" x14ac:dyDescent="0.3">
      <c r="A4" s="32" t="s">
        <v>1439</v>
      </c>
      <c r="B4" s="5">
        <v>33.792999999999999</v>
      </c>
      <c r="C4" s="5">
        <v>0</v>
      </c>
      <c r="D4" s="5">
        <v>21.771999999999998</v>
      </c>
      <c r="E4" s="5">
        <v>766.42899999999997</v>
      </c>
      <c r="F4" s="5">
        <v>828.69299999999998</v>
      </c>
      <c r="G4" s="5">
        <v>826.28099999999995</v>
      </c>
      <c r="H4" s="5">
        <v>879.79600000000005</v>
      </c>
      <c r="I4" s="5">
        <v>1305.5530000000001</v>
      </c>
      <c r="J4" s="5">
        <v>983.67600000000004</v>
      </c>
      <c r="K4" s="5">
        <v>807.11599999999999</v>
      </c>
      <c r="L4" s="5">
        <v>1064.8679999999999</v>
      </c>
      <c r="M4" s="5">
        <v>917.31500000000005</v>
      </c>
      <c r="N4" s="5">
        <v>1299.723</v>
      </c>
      <c r="O4" s="5">
        <v>1209.1769999999999</v>
      </c>
      <c r="P4" s="5">
        <v>195.77099999999999</v>
      </c>
      <c r="Q4" s="5">
        <v>194.25700000000001</v>
      </c>
      <c r="R4" s="5">
        <v>933.79600000000005</v>
      </c>
      <c r="S4" s="5">
        <v>925.06700000000001</v>
      </c>
      <c r="T4" s="5">
        <v>1199.211</v>
      </c>
      <c r="U4" s="5">
        <v>796.76199999999994</v>
      </c>
      <c r="V4" s="5">
        <v>770.75</v>
      </c>
      <c r="W4" s="5">
        <v>674.90700000000004</v>
      </c>
      <c r="X4" s="5">
        <v>188.03800000000001</v>
      </c>
      <c r="Y4" s="5">
        <v>837.30100000000004</v>
      </c>
      <c r="Z4" s="5">
        <v>754.65499999999997</v>
      </c>
      <c r="AA4" s="5">
        <v>569.51599999999996</v>
      </c>
      <c r="AB4" s="5">
        <v>1435.0309999999999</v>
      </c>
      <c r="AC4" s="5">
        <v>1085.2819999999999</v>
      </c>
      <c r="AD4" s="5">
        <v>1155.9739999999999</v>
      </c>
      <c r="AE4" s="5">
        <v>559.22500000000002</v>
      </c>
      <c r="AF4" s="5">
        <v>627.64599999999996</v>
      </c>
      <c r="AG4" s="5">
        <v>491.85</v>
      </c>
      <c r="AH4" s="5">
        <v>450.76</v>
      </c>
      <c r="AI4" s="5">
        <v>963.62300000000005</v>
      </c>
      <c r="AJ4" s="5">
        <v>594.55200000000002</v>
      </c>
      <c r="AK4" s="5">
        <v>793.18899999999996</v>
      </c>
      <c r="AL4" s="5">
        <v>728.66200000000003</v>
      </c>
      <c r="AM4" s="5"/>
      <c r="AN4" s="5"/>
      <c r="AO4" s="5"/>
      <c r="AP4" s="5"/>
      <c r="AQ4" s="5"/>
      <c r="AR4" s="5"/>
      <c r="AS4" s="5"/>
      <c r="AT4" s="5"/>
    </row>
    <row r="5" spans="1:1061" x14ac:dyDescent="0.3">
      <c r="A5" s="5" t="s">
        <v>308</v>
      </c>
      <c r="B5" s="5">
        <v>55.805999999999997</v>
      </c>
      <c r="C5" s="5">
        <v>21.417999999999999</v>
      </c>
      <c r="D5" s="5">
        <v>0</v>
      </c>
      <c r="E5" s="5">
        <v>752.976</v>
      </c>
      <c r="F5" s="5">
        <v>850.70600000000002</v>
      </c>
      <c r="G5" s="5">
        <v>848.29399999999998</v>
      </c>
      <c r="H5" s="5">
        <v>901.80899999999997</v>
      </c>
      <c r="I5" s="5">
        <v>1327.566</v>
      </c>
      <c r="J5" s="5">
        <v>1005.689</v>
      </c>
      <c r="K5" s="5">
        <v>829.12900000000002</v>
      </c>
      <c r="L5" s="5">
        <v>1086.8810000000001</v>
      </c>
      <c r="M5" s="5">
        <v>939.32799999999997</v>
      </c>
      <c r="N5" s="5">
        <v>1321.7360000000001</v>
      </c>
      <c r="O5" s="5">
        <v>1231.19</v>
      </c>
      <c r="P5" s="5">
        <v>217.78399999999999</v>
      </c>
      <c r="Q5" s="5">
        <v>216.27</v>
      </c>
      <c r="R5" s="5">
        <v>955.80899999999997</v>
      </c>
      <c r="S5" s="5">
        <v>947.08</v>
      </c>
      <c r="T5" s="5">
        <v>1221.2239999999999</v>
      </c>
      <c r="U5" s="5">
        <v>818.77499999999998</v>
      </c>
      <c r="V5" s="5">
        <v>792.76300000000003</v>
      </c>
      <c r="W5" s="5">
        <v>696.92</v>
      </c>
      <c r="X5" s="5">
        <v>210.05099999999999</v>
      </c>
      <c r="Y5" s="5">
        <v>859.31399999999996</v>
      </c>
      <c r="Z5" s="5">
        <v>776.66800000000001</v>
      </c>
      <c r="AA5" s="5">
        <v>591.529</v>
      </c>
      <c r="AB5" s="5">
        <v>1457.0440000000001</v>
      </c>
      <c r="AC5" s="5">
        <v>1107.2950000000001</v>
      </c>
      <c r="AD5" s="5">
        <v>1177.9870000000001</v>
      </c>
      <c r="AE5" s="5">
        <v>492.666</v>
      </c>
      <c r="AF5" s="5">
        <v>649.65899999999999</v>
      </c>
      <c r="AG5" s="5">
        <v>513.86300000000006</v>
      </c>
      <c r="AH5" s="5">
        <v>472.77300000000002</v>
      </c>
      <c r="AI5" s="5">
        <v>985.63599999999997</v>
      </c>
      <c r="AJ5" s="5">
        <v>616.56500000000005</v>
      </c>
      <c r="AK5" s="5">
        <v>723.346</v>
      </c>
      <c r="AL5" s="5">
        <v>750.67499999999995</v>
      </c>
      <c r="AM5" s="5"/>
      <c r="AN5" s="5"/>
      <c r="AO5" s="5"/>
      <c r="AP5" s="5"/>
      <c r="AQ5" s="5"/>
      <c r="AR5" s="5"/>
      <c r="AS5" s="5"/>
      <c r="AT5" s="5"/>
    </row>
    <row r="6" spans="1:1061" x14ac:dyDescent="0.3">
      <c r="A6" s="5" t="s">
        <v>30</v>
      </c>
      <c r="B6" s="5">
        <v>801.39</v>
      </c>
      <c r="C6" s="5">
        <v>767.00199999999995</v>
      </c>
      <c r="D6" s="5">
        <v>752.77599999999995</v>
      </c>
      <c r="E6" s="5">
        <v>0</v>
      </c>
      <c r="F6" s="5">
        <v>692.27099999999996</v>
      </c>
      <c r="G6" s="5">
        <v>660.21</v>
      </c>
      <c r="H6" s="5">
        <v>683.76499999999999</v>
      </c>
      <c r="I6" s="5">
        <v>951.15499999999997</v>
      </c>
      <c r="J6" s="5">
        <v>598.44799999999998</v>
      </c>
      <c r="K6" s="5">
        <v>560.64599999999996</v>
      </c>
      <c r="L6" s="5">
        <v>799.20399999999995</v>
      </c>
      <c r="M6" s="5">
        <v>612.84500000000003</v>
      </c>
      <c r="N6" s="5">
        <v>989.71500000000003</v>
      </c>
      <c r="O6" s="5">
        <v>854.779</v>
      </c>
      <c r="P6" s="5">
        <v>792.44899999999996</v>
      </c>
      <c r="Q6" s="5">
        <v>777.96</v>
      </c>
      <c r="R6" s="5">
        <v>511.46800000000002</v>
      </c>
      <c r="S6" s="5">
        <v>608.43200000000002</v>
      </c>
      <c r="T6" s="5">
        <v>933.54700000000003</v>
      </c>
      <c r="U6" s="5">
        <v>922.95500000000004</v>
      </c>
      <c r="V6" s="5">
        <v>836.79600000000005</v>
      </c>
      <c r="W6" s="5">
        <v>961.03200000000004</v>
      </c>
      <c r="X6" s="5">
        <v>813.56500000000005</v>
      </c>
      <c r="Y6" s="5">
        <v>885.77300000000002</v>
      </c>
      <c r="Z6" s="5">
        <v>1126.1179999999999</v>
      </c>
      <c r="AA6" s="5">
        <v>921.45699999999999</v>
      </c>
      <c r="AB6" s="5">
        <v>1085.903</v>
      </c>
      <c r="AC6" s="5">
        <v>545.12</v>
      </c>
      <c r="AD6" s="5">
        <v>896.67399999999998</v>
      </c>
      <c r="AE6" s="5">
        <v>427.31299999999999</v>
      </c>
      <c r="AF6" s="5">
        <v>607.95899999999995</v>
      </c>
      <c r="AG6" s="5">
        <v>531.78399999999999</v>
      </c>
      <c r="AH6" s="5">
        <v>542.30799999999999</v>
      </c>
      <c r="AI6" s="5">
        <v>378.49200000000002</v>
      </c>
      <c r="AJ6" s="5">
        <v>348.51499999999999</v>
      </c>
      <c r="AK6" s="5">
        <v>148.01499999999999</v>
      </c>
      <c r="AL6" s="5">
        <v>473.38499999999999</v>
      </c>
      <c r="AM6" s="5"/>
      <c r="AN6" s="5"/>
      <c r="AO6" s="5"/>
      <c r="AP6" s="5"/>
      <c r="AQ6" s="5"/>
      <c r="AR6" s="5"/>
      <c r="AS6" s="5"/>
      <c r="AT6" s="5"/>
    </row>
    <row r="7" spans="1:1061" x14ac:dyDescent="0.3">
      <c r="A7" s="5" t="s">
        <v>33</v>
      </c>
      <c r="B7" s="5">
        <v>805.77599999999995</v>
      </c>
      <c r="C7" s="5">
        <v>828.21400000000006</v>
      </c>
      <c r="D7" s="5">
        <v>851.10699999999997</v>
      </c>
      <c r="E7" s="5">
        <v>715.78899999999999</v>
      </c>
      <c r="F7" s="5">
        <v>0</v>
      </c>
      <c r="G7" s="5">
        <v>71.504000000000005</v>
      </c>
      <c r="H7" s="5">
        <v>58.807000000000002</v>
      </c>
      <c r="I7" s="5">
        <v>484.56400000000002</v>
      </c>
      <c r="J7" s="5">
        <v>166.136</v>
      </c>
      <c r="K7" s="5">
        <v>37.884</v>
      </c>
      <c r="L7" s="5">
        <v>243.87899999999999</v>
      </c>
      <c r="M7" s="5">
        <v>96.325999999999993</v>
      </c>
      <c r="N7" s="5">
        <v>478.73399999999998</v>
      </c>
      <c r="O7" s="5">
        <v>388.18799999999999</v>
      </c>
      <c r="P7" s="5">
        <v>683.40599999999995</v>
      </c>
      <c r="Q7" s="5">
        <v>668.91700000000003</v>
      </c>
      <c r="R7" s="5">
        <v>219.63499999999999</v>
      </c>
      <c r="S7" s="5">
        <v>104.078</v>
      </c>
      <c r="T7" s="5">
        <v>378.22199999999998</v>
      </c>
      <c r="U7" s="5">
        <v>402.98200000000003</v>
      </c>
      <c r="V7" s="5">
        <v>378.17500000000001</v>
      </c>
      <c r="W7" s="5">
        <v>502.411</v>
      </c>
      <c r="X7" s="5">
        <v>704.52200000000005</v>
      </c>
      <c r="Y7" s="5">
        <v>427.15199999999999</v>
      </c>
      <c r="Z7" s="5">
        <v>606.14499999999998</v>
      </c>
      <c r="AA7" s="5">
        <v>462.83600000000001</v>
      </c>
      <c r="AB7" s="5">
        <v>614.04200000000003</v>
      </c>
      <c r="AC7" s="5">
        <v>365.45</v>
      </c>
      <c r="AD7" s="5">
        <v>341.34899999999999</v>
      </c>
      <c r="AE7" s="5">
        <v>482.38</v>
      </c>
      <c r="AF7" s="5">
        <v>205.64699999999999</v>
      </c>
      <c r="AG7" s="5">
        <v>338.19499999999999</v>
      </c>
      <c r="AH7" s="5">
        <v>457.41199999999998</v>
      </c>
      <c r="AI7" s="5">
        <v>369.44900000000001</v>
      </c>
      <c r="AJ7" s="5">
        <v>314.43799999999999</v>
      </c>
      <c r="AK7" s="5">
        <v>570.029</v>
      </c>
      <c r="AL7" s="5">
        <v>116.74299999999999</v>
      </c>
      <c r="AM7" s="5"/>
      <c r="AN7" s="5"/>
      <c r="AO7" s="5"/>
      <c r="AP7" s="5"/>
      <c r="AQ7" s="5"/>
      <c r="AR7" s="5"/>
      <c r="AS7" s="5"/>
      <c r="AT7" s="5"/>
    </row>
    <row r="8" spans="1:1061" x14ac:dyDescent="0.3">
      <c r="A8" s="5" t="s">
        <v>36</v>
      </c>
      <c r="B8" s="5">
        <v>804.18899999999996</v>
      </c>
      <c r="C8" s="5">
        <v>826.62699999999995</v>
      </c>
      <c r="D8" s="5">
        <v>849.52</v>
      </c>
      <c r="E8" s="5">
        <v>662.11</v>
      </c>
      <c r="F8" s="5">
        <v>72.150000000000006</v>
      </c>
      <c r="G8" s="5">
        <v>0</v>
      </c>
      <c r="H8" s="5">
        <v>121.49299999999999</v>
      </c>
      <c r="I8" s="5">
        <v>547.25</v>
      </c>
      <c r="J8" s="5">
        <v>228.822</v>
      </c>
      <c r="K8" s="5">
        <v>112.711</v>
      </c>
      <c r="L8" s="5">
        <v>306.565</v>
      </c>
      <c r="M8" s="5">
        <v>159.012</v>
      </c>
      <c r="N8" s="5">
        <v>541.41999999999996</v>
      </c>
      <c r="O8" s="5">
        <v>450.87400000000002</v>
      </c>
      <c r="P8" s="5">
        <v>681.81899999999996</v>
      </c>
      <c r="Q8" s="5">
        <v>667.33</v>
      </c>
      <c r="R8" s="5">
        <v>282.32100000000003</v>
      </c>
      <c r="S8" s="5">
        <v>166.76400000000001</v>
      </c>
      <c r="T8" s="5">
        <v>440.90800000000002</v>
      </c>
      <c r="U8" s="5">
        <v>338.27499999999998</v>
      </c>
      <c r="V8" s="5">
        <v>313.46800000000002</v>
      </c>
      <c r="W8" s="5">
        <v>437.70400000000001</v>
      </c>
      <c r="X8" s="5">
        <v>702.93499999999995</v>
      </c>
      <c r="Y8" s="5">
        <v>362.44499999999999</v>
      </c>
      <c r="Z8" s="5">
        <v>541.43799999999999</v>
      </c>
      <c r="AA8" s="5">
        <v>398.12900000000002</v>
      </c>
      <c r="AB8" s="5">
        <v>676.72799999999995</v>
      </c>
      <c r="AC8" s="5">
        <v>428.13600000000002</v>
      </c>
      <c r="AD8" s="5">
        <v>404.03500000000003</v>
      </c>
      <c r="AE8" s="5">
        <v>480.79300000000001</v>
      </c>
      <c r="AF8" s="5">
        <v>204.06</v>
      </c>
      <c r="AG8" s="5">
        <v>336.608</v>
      </c>
      <c r="AH8" s="5">
        <v>455.82499999999999</v>
      </c>
      <c r="AI8" s="5">
        <v>432.13499999999999</v>
      </c>
      <c r="AJ8" s="5">
        <v>312.851</v>
      </c>
      <c r="AK8" s="5">
        <v>516.35</v>
      </c>
      <c r="AL8" s="5">
        <v>191.57</v>
      </c>
      <c r="AM8" s="5"/>
      <c r="AN8" s="5"/>
      <c r="AO8" s="5"/>
      <c r="AP8" s="5"/>
      <c r="AQ8" s="5"/>
      <c r="AR8" s="5"/>
      <c r="AS8" s="5"/>
      <c r="AT8" s="5"/>
    </row>
    <row r="9" spans="1:1061" x14ac:dyDescent="0.3">
      <c r="A9" s="5" t="s">
        <v>39</v>
      </c>
      <c r="B9" s="5">
        <v>857.11800000000005</v>
      </c>
      <c r="C9" s="5">
        <v>879.55600000000004</v>
      </c>
      <c r="D9" s="5">
        <v>902.44899999999996</v>
      </c>
      <c r="E9" s="5">
        <v>707.27</v>
      </c>
      <c r="F9" s="5">
        <v>58.238</v>
      </c>
      <c r="G9" s="5">
        <v>121.857</v>
      </c>
      <c r="H9" s="5">
        <v>0</v>
      </c>
      <c r="I9" s="5">
        <v>422.11599999999999</v>
      </c>
      <c r="J9" s="5">
        <v>157.61699999999999</v>
      </c>
      <c r="K9" s="5">
        <v>89.225999999999999</v>
      </c>
      <c r="L9" s="5">
        <v>206.16</v>
      </c>
      <c r="M9" s="5">
        <v>77.537999999999997</v>
      </c>
      <c r="N9" s="5">
        <v>441.01499999999999</v>
      </c>
      <c r="O9" s="5">
        <v>325.74</v>
      </c>
      <c r="P9" s="5">
        <v>734.74800000000005</v>
      </c>
      <c r="Q9" s="5">
        <v>720.25900000000001</v>
      </c>
      <c r="R9" s="5">
        <v>211.11600000000001</v>
      </c>
      <c r="S9" s="5">
        <v>95.558999999999997</v>
      </c>
      <c r="T9" s="5">
        <v>340.50299999999999</v>
      </c>
      <c r="U9" s="5">
        <v>420.76900000000001</v>
      </c>
      <c r="V9" s="5">
        <v>428.52800000000002</v>
      </c>
      <c r="W9" s="5">
        <v>553.48699999999997</v>
      </c>
      <c r="X9" s="5">
        <v>755.86400000000003</v>
      </c>
      <c r="Y9" s="5">
        <v>385.90100000000001</v>
      </c>
      <c r="Z9" s="5">
        <v>623.93200000000002</v>
      </c>
      <c r="AA9" s="5">
        <v>513.18899999999996</v>
      </c>
      <c r="AB9" s="5">
        <v>556.86400000000003</v>
      </c>
      <c r="AC9" s="5">
        <v>356.93099999999998</v>
      </c>
      <c r="AD9" s="5">
        <v>303.63</v>
      </c>
      <c r="AE9" s="5">
        <v>533.72199999999998</v>
      </c>
      <c r="AF9" s="5">
        <v>256.98899999999998</v>
      </c>
      <c r="AG9" s="5">
        <v>389.53699999999998</v>
      </c>
      <c r="AH9" s="5">
        <v>508.75400000000002</v>
      </c>
      <c r="AI9" s="5">
        <v>360.93</v>
      </c>
      <c r="AJ9" s="5">
        <v>417.11399999999998</v>
      </c>
      <c r="AK9" s="5">
        <v>561.51</v>
      </c>
      <c r="AL9" s="5">
        <v>168.08500000000001</v>
      </c>
      <c r="AM9" s="5"/>
      <c r="AN9" s="5"/>
      <c r="AO9" s="5"/>
      <c r="AP9" s="5"/>
      <c r="AQ9" s="5"/>
      <c r="AR9" s="5"/>
      <c r="AS9" s="5"/>
      <c r="AT9" s="5"/>
    </row>
    <row r="10" spans="1:1061" x14ac:dyDescent="0.3">
      <c r="A10" s="5" t="s">
        <v>42</v>
      </c>
      <c r="B10" s="5">
        <v>1282.5060000000001</v>
      </c>
      <c r="C10" s="5">
        <v>1304.944</v>
      </c>
      <c r="D10" s="5">
        <v>1327.837</v>
      </c>
      <c r="E10" s="5">
        <v>951.27800000000002</v>
      </c>
      <c r="F10" s="5">
        <v>483.62599999999998</v>
      </c>
      <c r="G10" s="5">
        <v>477.221</v>
      </c>
      <c r="H10" s="5">
        <v>421.77</v>
      </c>
      <c r="I10" s="5">
        <v>0</v>
      </c>
      <c r="J10" s="5">
        <v>360.50200000000001</v>
      </c>
      <c r="K10" s="5">
        <v>514.61400000000003</v>
      </c>
      <c r="L10" s="5">
        <v>240.303</v>
      </c>
      <c r="M10" s="5">
        <v>439.12299999999999</v>
      </c>
      <c r="N10" s="5">
        <v>105.292</v>
      </c>
      <c r="O10" s="5">
        <v>100.11199999999999</v>
      </c>
      <c r="P10" s="5">
        <v>1160.136</v>
      </c>
      <c r="Q10" s="5">
        <v>1145.6469999999999</v>
      </c>
      <c r="R10" s="5">
        <v>452.178</v>
      </c>
      <c r="S10" s="5">
        <v>457.14400000000001</v>
      </c>
      <c r="T10" s="5">
        <v>195.04</v>
      </c>
      <c r="U10" s="5">
        <v>560.904</v>
      </c>
      <c r="V10" s="5">
        <v>636.77099999999996</v>
      </c>
      <c r="W10" s="5">
        <v>693.62199999999996</v>
      </c>
      <c r="X10" s="5">
        <v>1181.252</v>
      </c>
      <c r="Y10" s="5">
        <v>559.53399999999999</v>
      </c>
      <c r="Z10" s="5">
        <v>764.06700000000001</v>
      </c>
      <c r="AA10" s="5">
        <v>790.52499999999998</v>
      </c>
      <c r="AB10" s="5">
        <v>147.57300000000001</v>
      </c>
      <c r="AC10" s="5">
        <v>484.41899999999998</v>
      </c>
      <c r="AD10" s="5">
        <v>216.60900000000001</v>
      </c>
      <c r="AE10" s="5">
        <v>959.11</v>
      </c>
      <c r="AF10" s="5">
        <v>682.37699999999995</v>
      </c>
      <c r="AG10" s="5">
        <v>814.92499999999995</v>
      </c>
      <c r="AH10" s="5">
        <v>934.14200000000005</v>
      </c>
      <c r="AI10" s="5">
        <v>601.99199999999996</v>
      </c>
      <c r="AJ10" s="5">
        <v>745.18899999999996</v>
      </c>
      <c r="AK10" s="5">
        <v>889.58500000000004</v>
      </c>
      <c r="AL10" s="5">
        <v>593.47299999999996</v>
      </c>
      <c r="AM10" s="5"/>
      <c r="AN10" s="5"/>
      <c r="AO10" s="5"/>
      <c r="AP10" s="5"/>
      <c r="AQ10" s="5"/>
      <c r="AR10" s="5"/>
      <c r="AS10" s="5"/>
      <c r="AT10" s="5"/>
    </row>
    <row r="11" spans="1:1061" x14ac:dyDescent="0.3">
      <c r="A11" s="5" t="s">
        <v>45</v>
      </c>
      <c r="B11" s="5">
        <v>961.70500000000004</v>
      </c>
      <c r="C11" s="5">
        <v>984.14300000000003</v>
      </c>
      <c r="D11" s="5">
        <v>1007.0359999999999</v>
      </c>
      <c r="E11" s="5">
        <v>598.17399999999998</v>
      </c>
      <c r="F11" s="5">
        <v>166.05500000000001</v>
      </c>
      <c r="G11" s="5">
        <v>229.67400000000001</v>
      </c>
      <c r="H11" s="5">
        <v>157.54900000000001</v>
      </c>
      <c r="I11" s="5">
        <v>362.32600000000002</v>
      </c>
      <c r="J11" s="5">
        <v>0</v>
      </c>
      <c r="K11" s="5">
        <v>197.04300000000001</v>
      </c>
      <c r="L11" s="5">
        <v>210.375</v>
      </c>
      <c r="M11" s="5">
        <v>86.629000000000005</v>
      </c>
      <c r="N11" s="5">
        <v>400.88600000000002</v>
      </c>
      <c r="O11" s="5">
        <v>265.95</v>
      </c>
      <c r="P11" s="5">
        <v>839.33500000000004</v>
      </c>
      <c r="Q11" s="5">
        <v>824.846</v>
      </c>
      <c r="R11" s="5">
        <v>99.073999999999998</v>
      </c>
      <c r="S11" s="5">
        <v>82.215999999999994</v>
      </c>
      <c r="T11" s="5">
        <v>344.71800000000002</v>
      </c>
      <c r="U11" s="5">
        <v>548.09199999999998</v>
      </c>
      <c r="V11" s="5">
        <v>536.34500000000003</v>
      </c>
      <c r="W11" s="5">
        <v>680.81</v>
      </c>
      <c r="X11" s="5">
        <v>860.45100000000002</v>
      </c>
      <c r="Y11" s="5">
        <v>513.22400000000005</v>
      </c>
      <c r="Z11" s="5">
        <v>751.255</v>
      </c>
      <c r="AA11" s="5">
        <v>621.00599999999997</v>
      </c>
      <c r="AB11" s="5">
        <v>497.07400000000001</v>
      </c>
      <c r="AC11" s="5">
        <v>235.898</v>
      </c>
      <c r="AD11" s="5">
        <v>307.84500000000003</v>
      </c>
      <c r="AE11" s="5">
        <v>598.65700000000004</v>
      </c>
      <c r="AF11" s="5">
        <v>364.80599999999998</v>
      </c>
      <c r="AG11" s="5">
        <v>497.35399999999998</v>
      </c>
      <c r="AH11" s="5">
        <v>614.23400000000004</v>
      </c>
      <c r="AI11" s="5">
        <v>248.88800000000001</v>
      </c>
      <c r="AJ11" s="5">
        <v>392.08499999999998</v>
      </c>
      <c r="AK11" s="5">
        <v>536.48099999999999</v>
      </c>
      <c r="AL11" s="5">
        <v>264.99599999999998</v>
      </c>
      <c r="AM11" s="5"/>
      <c r="AN11" s="5"/>
      <c r="AO11" s="5"/>
      <c r="AP11" s="5"/>
      <c r="AQ11" s="5"/>
      <c r="AR11" s="5"/>
      <c r="AS11" s="5"/>
      <c r="AT11" s="5"/>
    </row>
    <row r="12" spans="1:1061" x14ac:dyDescent="0.3">
      <c r="A12" s="5" t="s">
        <v>48</v>
      </c>
      <c r="B12" s="5">
        <v>783.1</v>
      </c>
      <c r="C12" s="5">
        <v>805.53800000000001</v>
      </c>
      <c r="D12" s="5">
        <v>828.43100000000004</v>
      </c>
      <c r="E12" s="5">
        <v>565.78599999999994</v>
      </c>
      <c r="F12" s="5">
        <v>37.520000000000003</v>
      </c>
      <c r="G12" s="5">
        <v>111.336</v>
      </c>
      <c r="H12" s="5">
        <v>88.623000000000005</v>
      </c>
      <c r="I12" s="5">
        <v>514.38</v>
      </c>
      <c r="J12" s="5">
        <v>195.952</v>
      </c>
      <c r="K12" s="5">
        <v>0</v>
      </c>
      <c r="L12" s="5">
        <v>273.69499999999999</v>
      </c>
      <c r="M12" s="5">
        <v>126.142</v>
      </c>
      <c r="N12" s="5">
        <v>508.55</v>
      </c>
      <c r="O12" s="5">
        <v>418.00400000000002</v>
      </c>
      <c r="P12" s="5">
        <v>660.73</v>
      </c>
      <c r="Q12" s="5">
        <v>646.24099999999999</v>
      </c>
      <c r="R12" s="5">
        <v>249.45099999999999</v>
      </c>
      <c r="S12" s="5">
        <v>133.89400000000001</v>
      </c>
      <c r="T12" s="5">
        <v>408.03800000000001</v>
      </c>
      <c r="U12" s="5">
        <v>488.30399999999997</v>
      </c>
      <c r="V12" s="5">
        <v>418.00700000000001</v>
      </c>
      <c r="W12" s="5">
        <v>542.24300000000005</v>
      </c>
      <c r="X12" s="5">
        <v>681.846</v>
      </c>
      <c r="Y12" s="5">
        <v>466.98399999999998</v>
      </c>
      <c r="Z12" s="5">
        <v>691.46699999999998</v>
      </c>
      <c r="AA12" s="5">
        <v>502.66800000000001</v>
      </c>
      <c r="AB12" s="5">
        <v>643.85799999999995</v>
      </c>
      <c r="AC12" s="5">
        <v>395.26600000000002</v>
      </c>
      <c r="AD12" s="5">
        <v>371.16500000000002</v>
      </c>
      <c r="AE12" s="5">
        <v>459.70400000000001</v>
      </c>
      <c r="AF12" s="5">
        <v>182.971</v>
      </c>
      <c r="AG12" s="5">
        <v>315.51900000000001</v>
      </c>
      <c r="AH12" s="5">
        <v>434.73599999999999</v>
      </c>
      <c r="AI12" s="5">
        <v>399.26499999999999</v>
      </c>
      <c r="AJ12" s="5">
        <v>241.40899999999999</v>
      </c>
      <c r="AK12" s="5">
        <v>420.02600000000001</v>
      </c>
      <c r="AL12" s="5">
        <v>77.909000000000006</v>
      </c>
      <c r="AM12" s="5"/>
      <c r="AN12" s="5"/>
      <c r="AO12" s="5"/>
      <c r="AP12" s="5"/>
      <c r="AQ12" s="5"/>
      <c r="AR12" s="5"/>
      <c r="AS12" s="5"/>
      <c r="AT12" s="5"/>
    </row>
    <row r="13" spans="1:1061" x14ac:dyDescent="0.3">
      <c r="A13" s="5" t="s">
        <v>51</v>
      </c>
      <c r="B13" s="5">
        <v>1044.2260000000001</v>
      </c>
      <c r="C13" s="5">
        <v>1066.664</v>
      </c>
      <c r="D13" s="5">
        <v>1089.557</v>
      </c>
      <c r="E13" s="5">
        <v>800.678</v>
      </c>
      <c r="F13" s="5">
        <v>245.346</v>
      </c>
      <c r="G13" s="5">
        <v>238.941</v>
      </c>
      <c r="H13" s="5">
        <v>210.5</v>
      </c>
      <c r="I13" s="5">
        <v>239.78200000000001</v>
      </c>
      <c r="J13" s="5">
        <v>209.90199999999999</v>
      </c>
      <c r="K13" s="5">
        <v>276.334</v>
      </c>
      <c r="L13" s="5">
        <v>0</v>
      </c>
      <c r="M13" s="5">
        <v>240.85</v>
      </c>
      <c r="N13" s="5">
        <v>254.239</v>
      </c>
      <c r="O13" s="5">
        <v>142.779</v>
      </c>
      <c r="P13" s="5">
        <v>921.85599999999999</v>
      </c>
      <c r="Q13" s="5">
        <v>907.36699999999996</v>
      </c>
      <c r="R13" s="5">
        <v>301.57799999999997</v>
      </c>
      <c r="S13" s="5">
        <v>258.87099999999998</v>
      </c>
      <c r="T13" s="5">
        <v>153.727</v>
      </c>
      <c r="U13" s="5">
        <v>397.6</v>
      </c>
      <c r="V13" s="5">
        <v>473.46699999999998</v>
      </c>
      <c r="W13" s="5">
        <v>530.31799999999998</v>
      </c>
      <c r="X13" s="5">
        <v>942.97199999999998</v>
      </c>
      <c r="Y13" s="5">
        <v>396.23</v>
      </c>
      <c r="Z13" s="5">
        <v>600.76300000000003</v>
      </c>
      <c r="AA13" s="5">
        <v>627.221</v>
      </c>
      <c r="AB13" s="5">
        <v>389.54700000000003</v>
      </c>
      <c r="AC13" s="5">
        <v>423.07900000000001</v>
      </c>
      <c r="AD13" s="5">
        <v>116.854</v>
      </c>
      <c r="AE13" s="5">
        <v>720.83</v>
      </c>
      <c r="AF13" s="5">
        <v>444.09699999999998</v>
      </c>
      <c r="AG13" s="5">
        <v>576.64499999999998</v>
      </c>
      <c r="AH13" s="5">
        <v>695.86199999999997</v>
      </c>
      <c r="AI13" s="5">
        <v>451.392</v>
      </c>
      <c r="AJ13" s="5">
        <v>580.42600000000004</v>
      </c>
      <c r="AK13" s="5">
        <v>724.822</v>
      </c>
      <c r="AL13" s="5">
        <v>355.19299999999998</v>
      </c>
      <c r="AM13" s="5"/>
      <c r="AN13" s="5"/>
      <c r="AO13" s="5"/>
      <c r="AP13" s="5"/>
      <c r="AQ13" s="5"/>
      <c r="AR13" s="5"/>
      <c r="AS13" s="5"/>
      <c r="AT13" s="5"/>
    </row>
    <row r="14" spans="1:1061" x14ac:dyDescent="0.3">
      <c r="A14" s="5" t="s">
        <v>54</v>
      </c>
      <c r="B14" s="5">
        <v>894.32399999999996</v>
      </c>
      <c r="C14" s="5">
        <v>916.76199999999994</v>
      </c>
      <c r="D14" s="5">
        <v>939.65499999999997</v>
      </c>
      <c r="E14" s="5">
        <v>636.274</v>
      </c>
      <c r="F14" s="5">
        <v>95.444000000000003</v>
      </c>
      <c r="G14" s="5">
        <v>159.06299999999999</v>
      </c>
      <c r="H14" s="5">
        <v>76.760999999999996</v>
      </c>
      <c r="I14" s="5">
        <v>439.48500000000001</v>
      </c>
      <c r="J14" s="5">
        <v>86.620999999999995</v>
      </c>
      <c r="K14" s="5">
        <v>126.432</v>
      </c>
      <c r="L14" s="5">
        <v>239.624</v>
      </c>
      <c r="M14" s="5">
        <v>0</v>
      </c>
      <c r="N14" s="5">
        <v>474.47899999999998</v>
      </c>
      <c r="O14" s="5">
        <v>343.10899999999998</v>
      </c>
      <c r="P14" s="5">
        <v>771.95399999999995</v>
      </c>
      <c r="Q14" s="5">
        <v>757.46500000000003</v>
      </c>
      <c r="R14" s="5">
        <v>140.12</v>
      </c>
      <c r="S14" s="5">
        <v>20.719000000000001</v>
      </c>
      <c r="T14" s="5">
        <v>373.96699999999998</v>
      </c>
      <c r="U14" s="5">
        <v>453.7</v>
      </c>
      <c r="V14" s="5">
        <v>465.73399999999998</v>
      </c>
      <c r="W14" s="5">
        <v>586.41800000000001</v>
      </c>
      <c r="X14" s="5">
        <v>793.07</v>
      </c>
      <c r="Y14" s="5">
        <v>418.83199999999999</v>
      </c>
      <c r="Z14" s="5">
        <v>656.86300000000006</v>
      </c>
      <c r="AA14" s="5">
        <v>550.39499999999998</v>
      </c>
      <c r="AB14" s="5">
        <v>574.23299999999995</v>
      </c>
      <c r="AC14" s="5">
        <v>285.935</v>
      </c>
      <c r="AD14" s="5">
        <v>337.09399999999999</v>
      </c>
      <c r="AE14" s="5">
        <v>552.69000000000005</v>
      </c>
      <c r="AF14" s="5">
        <v>294.19499999999999</v>
      </c>
      <c r="AG14" s="5">
        <v>426.74299999999999</v>
      </c>
      <c r="AH14" s="5">
        <v>545.96</v>
      </c>
      <c r="AI14" s="5">
        <v>289.93400000000003</v>
      </c>
      <c r="AJ14" s="5">
        <v>346.11799999999999</v>
      </c>
      <c r="AK14" s="5">
        <v>490.51400000000001</v>
      </c>
      <c r="AL14" s="5">
        <v>228.16800000000001</v>
      </c>
      <c r="AM14" s="5"/>
      <c r="AN14" s="5"/>
      <c r="AO14" s="5"/>
      <c r="AP14" s="5"/>
      <c r="AQ14" s="5"/>
      <c r="AR14" s="5"/>
      <c r="AS14" s="5"/>
      <c r="AT14" s="5"/>
    </row>
    <row r="15" spans="1:1061" x14ac:dyDescent="0.3">
      <c r="A15" s="5" t="s">
        <v>57</v>
      </c>
      <c r="B15" s="5">
        <v>1277.74</v>
      </c>
      <c r="C15" s="5">
        <v>1300.1780000000001</v>
      </c>
      <c r="D15" s="5">
        <v>1323.0709999999999</v>
      </c>
      <c r="E15" s="5">
        <v>990.31799999999998</v>
      </c>
      <c r="F15" s="5">
        <v>478.86</v>
      </c>
      <c r="G15" s="5">
        <v>472.45499999999998</v>
      </c>
      <c r="H15" s="5">
        <v>444.01400000000001</v>
      </c>
      <c r="I15" s="5">
        <v>104.04</v>
      </c>
      <c r="J15" s="5">
        <v>399.54199999999997</v>
      </c>
      <c r="K15" s="5">
        <v>509.84800000000001</v>
      </c>
      <c r="L15" s="5">
        <v>253.96899999999999</v>
      </c>
      <c r="M15" s="5">
        <v>474.36399999999998</v>
      </c>
      <c r="N15" s="5">
        <v>0</v>
      </c>
      <c r="O15" s="5">
        <v>135.54900000000001</v>
      </c>
      <c r="P15" s="5">
        <v>1155.3699999999999</v>
      </c>
      <c r="Q15" s="5">
        <v>1140.8810000000001</v>
      </c>
      <c r="R15" s="5">
        <v>491.21800000000002</v>
      </c>
      <c r="S15" s="5">
        <v>492.38499999999999</v>
      </c>
      <c r="T15" s="5">
        <v>130.321</v>
      </c>
      <c r="U15" s="5">
        <v>508.99799999999999</v>
      </c>
      <c r="V15" s="5">
        <v>584.86500000000001</v>
      </c>
      <c r="W15" s="5">
        <v>641.71600000000001</v>
      </c>
      <c r="X15" s="5">
        <v>1176.4860000000001</v>
      </c>
      <c r="Y15" s="5">
        <v>507.62799999999999</v>
      </c>
      <c r="Z15" s="5">
        <v>712.16099999999994</v>
      </c>
      <c r="AA15" s="5">
        <v>738.61900000000003</v>
      </c>
      <c r="AB15" s="5">
        <v>139.06299999999999</v>
      </c>
      <c r="AC15" s="5">
        <v>574.40300000000002</v>
      </c>
      <c r="AD15" s="5">
        <v>157.25800000000001</v>
      </c>
      <c r="AE15" s="5">
        <v>954.34400000000005</v>
      </c>
      <c r="AF15" s="5">
        <v>677.61099999999999</v>
      </c>
      <c r="AG15" s="5">
        <v>810.16</v>
      </c>
      <c r="AH15" s="5">
        <v>929.37599999999998</v>
      </c>
      <c r="AI15" s="5">
        <v>641.03200000000004</v>
      </c>
      <c r="AJ15" s="5">
        <v>784.22900000000004</v>
      </c>
      <c r="AK15" s="5">
        <v>928.625</v>
      </c>
      <c r="AL15" s="5">
        <v>588.70699999999999</v>
      </c>
      <c r="AM15" s="5"/>
      <c r="AN15" s="5"/>
      <c r="AO15" s="5"/>
      <c r="AP15" s="5"/>
      <c r="AQ15" s="5"/>
      <c r="AR15" s="5"/>
      <c r="AS15" s="5"/>
      <c r="AT15" s="5"/>
    </row>
    <row r="16" spans="1:1061" x14ac:dyDescent="0.3">
      <c r="A16" s="5" t="s">
        <v>60</v>
      </c>
      <c r="B16" s="5">
        <v>1186.675</v>
      </c>
      <c r="C16" s="5">
        <v>1209.1130000000001</v>
      </c>
      <c r="D16" s="5">
        <v>1232.0060000000001</v>
      </c>
      <c r="E16" s="5">
        <v>855.447</v>
      </c>
      <c r="F16" s="5">
        <v>387.79500000000002</v>
      </c>
      <c r="G16" s="5">
        <v>381.39</v>
      </c>
      <c r="H16" s="5">
        <v>325.93900000000002</v>
      </c>
      <c r="I16" s="5">
        <v>99.512</v>
      </c>
      <c r="J16" s="5">
        <v>264.67099999999999</v>
      </c>
      <c r="K16" s="5">
        <v>418.78300000000002</v>
      </c>
      <c r="L16" s="5">
        <v>143.298</v>
      </c>
      <c r="M16" s="5">
        <v>343.29199999999997</v>
      </c>
      <c r="N16" s="5">
        <v>135.642</v>
      </c>
      <c r="O16" s="5">
        <v>0</v>
      </c>
      <c r="P16" s="5">
        <v>1064.3050000000001</v>
      </c>
      <c r="Q16" s="5">
        <v>1049.816</v>
      </c>
      <c r="R16" s="5">
        <v>356.34699999999998</v>
      </c>
      <c r="S16" s="5">
        <v>361.31299999999999</v>
      </c>
      <c r="T16" s="5">
        <v>122.767</v>
      </c>
      <c r="U16" s="5">
        <v>463.899</v>
      </c>
      <c r="V16" s="5">
        <v>539.76599999999996</v>
      </c>
      <c r="W16" s="5">
        <v>596.61699999999996</v>
      </c>
      <c r="X16" s="5">
        <v>1085.421</v>
      </c>
      <c r="Y16" s="5">
        <v>462.529</v>
      </c>
      <c r="Z16" s="5">
        <v>667.06200000000001</v>
      </c>
      <c r="AA16" s="5">
        <v>693.52</v>
      </c>
      <c r="AB16" s="5">
        <v>234.26</v>
      </c>
      <c r="AC16" s="5">
        <v>439.53199999999998</v>
      </c>
      <c r="AD16" s="5">
        <v>119.604</v>
      </c>
      <c r="AE16" s="5">
        <v>863.279</v>
      </c>
      <c r="AF16" s="5">
        <v>586.54600000000005</v>
      </c>
      <c r="AG16" s="5">
        <v>719.09400000000005</v>
      </c>
      <c r="AH16" s="5">
        <v>838.31100000000004</v>
      </c>
      <c r="AI16" s="5">
        <v>506.161</v>
      </c>
      <c r="AJ16" s="5">
        <v>649.35799999999995</v>
      </c>
      <c r="AK16" s="5">
        <v>793.75400000000002</v>
      </c>
      <c r="AL16" s="5">
        <v>497.642</v>
      </c>
      <c r="AM16" s="5"/>
      <c r="AN16" s="5"/>
      <c r="AO16" s="5"/>
      <c r="AP16" s="5"/>
      <c r="AQ16" s="5"/>
      <c r="AR16" s="5"/>
      <c r="AS16" s="5"/>
      <c r="AT16" s="5"/>
    </row>
    <row r="17" spans="1:46" x14ac:dyDescent="0.3">
      <c r="A17" s="5" t="s">
        <v>63</v>
      </c>
      <c r="B17" s="5">
        <v>171.749</v>
      </c>
      <c r="C17" s="5">
        <v>194.18700000000001</v>
      </c>
      <c r="D17" s="5">
        <v>217.08</v>
      </c>
      <c r="E17" s="5">
        <v>793.48900000000003</v>
      </c>
      <c r="F17" s="5">
        <v>683.23299999999995</v>
      </c>
      <c r="G17" s="5">
        <v>680.82100000000003</v>
      </c>
      <c r="H17" s="5">
        <v>734.33600000000001</v>
      </c>
      <c r="I17" s="5">
        <v>1160.0930000000001</v>
      </c>
      <c r="J17" s="5">
        <v>838.21600000000001</v>
      </c>
      <c r="K17" s="5">
        <v>661.65599999999995</v>
      </c>
      <c r="L17" s="5">
        <v>919.40800000000002</v>
      </c>
      <c r="M17" s="5">
        <v>771.85500000000002</v>
      </c>
      <c r="N17" s="5">
        <v>1154.2629999999999</v>
      </c>
      <c r="O17" s="5">
        <v>1063.7170000000001</v>
      </c>
      <c r="P17" s="5">
        <v>0</v>
      </c>
      <c r="Q17" s="5">
        <v>17.141999999999999</v>
      </c>
      <c r="R17" s="5">
        <v>788.33600000000001</v>
      </c>
      <c r="S17" s="5">
        <v>779.60699999999997</v>
      </c>
      <c r="T17" s="5">
        <v>1053.751</v>
      </c>
      <c r="U17" s="5">
        <v>651.30200000000002</v>
      </c>
      <c r="V17" s="5">
        <v>625.29</v>
      </c>
      <c r="W17" s="5">
        <v>529.447</v>
      </c>
      <c r="X17" s="5">
        <v>22.577999999999999</v>
      </c>
      <c r="Y17" s="5">
        <v>691.84100000000001</v>
      </c>
      <c r="Z17" s="5">
        <v>609.19500000000005</v>
      </c>
      <c r="AA17" s="5">
        <v>424.05599999999998</v>
      </c>
      <c r="AB17" s="5">
        <v>1289.5709999999999</v>
      </c>
      <c r="AC17" s="5">
        <v>939.822</v>
      </c>
      <c r="AD17" s="5">
        <v>1010.514</v>
      </c>
      <c r="AE17" s="5">
        <v>413.76499999999999</v>
      </c>
      <c r="AF17" s="5">
        <v>482.18599999999998</v>
      </c>
      <c r="AG17" s="5">
        <v>346.39</v>
      </c>
      <c r="AH17" s="5">
        <v>305.3</v>
      </c>
      <c r="AI17" s="5">
        <v>818.16300000000001</v>
      </c>
      <c r="AJ17" s="5">
        <v>449.09199999999998</v>
      </c>
      <c r="AK17" s="5">
        <v>647.72900000000004</v>
      </c>
      <c r="AL17" s="5">
        <v>583.202</v>
      </c>
      <c r="AM17" s="5"/>
      <c r="AN17" s="5"/>
      <c r="AO17" s="5"/>
      <c r="AP17" s="5"/>
      <c r="AQ17" s="5"/>
      <c r="AR17" s="5"/>
      <c r="AS17" s="5"/>
      <c r="AT17" s="5"/>
    </row>
    <row r="18" spans="1:46" x14ac:dyDescent="0.3">
      <c r="A18" s="5" t="s">
        <v>66</v>
      </c>
      <c r="B18" s="5">
        <v>171.322</v>
      </c>
      <c r="C18" s="5">
        <v>193.76</v>
      </c>
      <c r="D18" s="5">
        <v>216.65299999999999</v>
      </c>
      <c r="E18" s="5">
        <v>779.03700000000003</v>
      </c>
      <c r="F18" s="5">
        <v>668.78099999999995</v>
      </c>
      <c r="G18" s="5">
        <v>666.36900000000003</v>
      </c>
      <c r="H18" s="5">
        <v>719.88400000000001</v>
      </c>
      <c r="I18" s="5">
        <v>1145.6410000000001</v>
      </c>
      <c r="J18" s="5">
        <v>823.76400000000001</v>
      </c>
      <c r="K18" s="5">
        <v>647.20399999999995</v>
      </c>
      <c r="L18" s="5">
        <v>904.95600000000002</v>
      </c>
      <c r="M18" s="5">
        <v>757.40300000000002</v>
      </c>
      <c r="N18" s="5">
        <v>1139.8109999999999</v>
      </c>
      <c r="O18" s="5">
        <v>1049.2650000000001</v>
      </c>
      <c r="P18" s="5">
        <v>17.885000000000002</v>
      </c>
      <c r="Q18" s="5">
        <v>0</v>
      </c>
      <c r="R18" s="5">
        <v>773.88400000000001</v>
      </c>
      <c r="S18" s="5">
        <v>765.15499999999997</v>
      </c>
      <c r="T18" s="5">
        <v>1039.299</v>
      </c>
      <c r="U18" s="5">
        <v>636.85</v>
      </c>
      <c r="V18" s="5">
        <v>610.83799999999997</v>
      </c>
      <c r="W18" s="5">
        <v>514.995</v>
      </c>
      <c r="X18" s="5">
        <v>37.997</v>
      </c>
      <c r="Y18" s="5">
        <v>677.38900000000001</v>
      </c>
      <c r="Z18" s="5">
        <v>594.74300000000005</v>
      </c>
      <c r="AA18" s="5">
        <v>409.60399999999998</v>
      </c>
      <c r="AB18" s="5">
        <v>1275.1189999999999</v>
      </c>
      <c r="AC18" s="5">
        <v>925.37</v>
      </c>
      <c r="AD18" s="5">
        <v>996.06200000000001</v>
      </c>
      <c r="AE18" s="5">
        <v>399.31299999999999</v>
      </c>
      <c r="AF18" s="5">
        <v>467.73399999999998</v>
      </c>
      <c r="AG18" s="5">
        <v>331.93799999999999</v>
      </c>
      <c r="AH18" s="5">
        <v>290.84800000000001</v>
      </c>
      <c r="AI18" s="5">
        <v>803.71100000000001</v>
      </c>
      <c r="AJ18" s="5">
        <v>434.64</v>
      </c>
      <c r="AK18" s="5">
        <v>633.27700000000004</v>
      </c>
      <c r="AL18" s="5">
        <v>568.75</v>
      </c>
      <c r="AM18" s="5"/>
      <c r="AN18" s="5"/>
      <c r="AO18" s="5"/>
      <c r="AP18" s="5"/>
      <c r="AQ18" s="5"/>
      <c r="AR18" s="5"/>
      <c r="AS18" s="5"/>
      <c r="AT18" s="5"/>
    </row>
    <row r="19" spans="1:46" x14ac:dyDescent="0.3">
      <c r="A19" s="5" t="s">
        <v>69</v>
      </c>
      <c r="B19" s="5">
        <v>911.053</v>
      </c>
      <c r="C19" s="5">
        <v>933.49099999999999</v>
      </c>
      <c r="D19" s="5">
        <v>956.38400000000001</v>
      </c>
      <c r="E19" s="5">
        <v>511.85300000000001</v>
      </c>
      <c r="F19" s="5">
        <v>219.06</v>
      </c>
      <c r="G19" s="5">
        <v>282.67899999999997</v>
      </c>
      <c r="H19" s="5">
        <v>210.554</v>
      </c>
      <c r="I19" s="5">
        <v>452.29899999999998</v>
      </c>
      <c r="J19" s="5">
        <v>99.591999999999999</v>
      </c>
      <c r="K19" s="5">
        <v>250.048</v>
      </c>
      <c r="L19" s="5">
        <v>300.34800000000001</v>
      </c>
      <c r="M19" s="5">
        <v>139.63399999999999</v>
      </c>
      <c r="N19" s="5">
        <v>490.85899999999998</v>
      </c>
      <c r="O19" s="5">
        <v>355.923</v>
      </c>
      <c r="P19" s="5">
        <v>788.68299999999999</v>
      </c>
      <c r="Q19" s="5">
        <v>774.19399999999996</v>
      </c>
      <c r="R19" s="5">
        <v>0</v>
      </c>
      <c r="S19" s="5">
        <v>135.221</v>
      </c>
      <c r="T19" s="5">
        <v>434.69099999999997</v>
      </c>
      <c r="U19" s="5">
        <v>587.49300000000005</v>
      </c>
      <c r="V19" s="5">
        <v>589.35</v>
      </c>
      <c r="W19" s="5">
        <v>720.21100000000001</v>
      </c>
      <c r="X19" s="5">
        <v>809.79899999999998</v>
      </c>
      <c r="Y19" s="5">
        <v>552.625</v>
      </c>
      <c r="Z19" s="5">
        <v>790.65599999999995</v>
      </c>
      <c r="AA19" s="5">
        <v>674.01099999999997</v>
      </c>
      <c r="AB19" s="5">
        <v>587.04700000000003</v>
      </c>
      <c r="AC19" s="5">
        <v>168.809</v>
      </c>
      <c r="AD19" s="5">
        <v>397.81799999999998</v>
      </c>
      <c r="AE19" s="5">
        <v>548.005</v>
      </c>
      <c r="AF19" s="5">
        <v>417.81099999999998</v>
      </c>
      <c r="AG19" s="5">
        <v>528.01800000000003</v>
      </c>
      <c r="AH19" s="5">
        <v>563.58199999999999</v>
      </c>
      <c r="AI19" s="5">
        <v>162.56700000000001</v>
      </c>
      <c r="AJ19" s="5">
        <v>341.43299999999999</v>
      </c>
      <c r="AK19" s="5">
        <v>485.82900000000001</v>
      </c>
      <c r="AL19" s="5">
        <v>245.53399999999999</v>
      </c>
      <c r="AM19" s="5"/>
      <c r="AN19" s="5"/>
      <c r="AO19" s="5"/>
      <c r="AP19" s="5"/>
      <c r="AQ19" s="5"/>
      <c r="AR19" s="5"/>
      <c r="AS19" s="5"/>
      <c r="AT19" s="5"/>
    </row>
    <row r="20" spans="1:46" x14ac:dyDescent="0.3">
      <c r="A20" s="5" t="s">
        <v>72</v>
      </c>
      <c r="B20" s="5">
        <v>902.83299999999997</v>
      </c>
      <c r="C20" s="5">
        <v>925.27099999999996</v>
      </c>
      <c r="D20" s="5">
        <v>948.16399999999999</v>
      </c>
      <c r="E20" s="5">
        <v>632.62400000000002</v>
      </c>
      <c r="F20" s="5">
        <v>103.953</v>
      </c>
      <c r="G20" s="5">
        <v>167.572</v>
      </c>
      <c r="H20" s="5">
        <v>95.447000000000003</v>
      </c>
      <c r="I20" s="5">
        <v>458.17099999999999</v>
      </c>
      <c r="J20" s="5">
        <v>82.971000000000004</v>
      </c>
      <c r="K20" s="5">
        <v>134.941</v>
      </c>
      <c r="L20" s="5">
        <v>258.31</v>
      </c>
      <c r="M20" s="5">
        <v>20.727</v>
      </c>
      <c r="N20" s="5">
        <v>493.16500000000002</v>
      </c>
      <c r="O20" s="5">
        <v>361.79500000000002</v>
      </c>
      <c r="P20" s="5">
        <v>780.46299999999997</v>
      </c>
      <c r="Q20" s="5">
        <v>765.97400000000005</v>
      </c>
      <c r="R20" s="5">
        <v>136.47</v>
      </c>
      <c r="S20" s="5">
        <v>0</v>
      </c>
      <c r="T20" s="5">
        <v>392.65300000000002</v>
      </c>
      <c r="U20" s="5">
        <v>472.38600000000002</v>
      </c>
      <c r="V20" s="5">
        <v>474.24299999999999</v>
      </c>
      <c r="W20" s="5">
        <v>605.10400000000004</v>
      </c>
      <c r="X20" s="5">
        <v>801.57899999999995</v>
      </c>
      <c r="Y20" s="5">
        <v>437.51799999999997</v>
      </c>
      <c r="Z20" s="5">
        <v>675.54899999999998</v>
      </c>
      <c r="AA20" s="5">
        <v>558.904</v>
      </c>
      <c r="AB20" s="5">
        <v>592.91899999999998</v>
      </c>
      <c r="AC20" s="5">
        <v>282.28500000000003</v>
      </c>
      <c r="AD20" s="5">
        <v>355.78</v>
      </c>
      <c r="AE20" s="5">
        <v>549.04</v>
      </c>
      <c r="AF20" s="5">
        <v>302.70400000000001</v>
      </c>
      <c r="AG20" s="5">
        <v>435.25200000000001</v>
      </c>
      <c r="AH20" s="5">
        <v>564.61699999999996</v>
      </c>
      <c r="AI20" s="5">
        <v>286.28399999999999</v>
      </c>
      <c r="AJ20" s="5">
        <v>342.46800000000002</v>
      </c>
      <c r="AK20" s="5">
        <v>486.86399999999998</v>
      </c>
      <c r="AL20" s="5">
        <v>190.87100000000001</v>
      </c>
      <c r="AM20" s="5"/>
      <c r="AN20" s="5"/>
      <c r="AO20" s="5"/>
      <c r="AP20" s="5"/>
      <c r="AQ20" s="5"/>
      <c r="AR20" s="5"/>
      <c r="AS20" s="5"/>
      <c r="AT20" s="5"/>
    </row>
    <row r="21" spans="1:46" x14ac:dyDescent="0.3">
      <c r="A21" s="5" t="s">
        <v>75</v>
      </c>
      <c r="B21" s="5">
        <v>1178.1289999999999</v>
      </c>
      <c r="C21" s="5">
        <v>1200.567</v>
      </c>
      <c r="D21" s="5">
        <v>1223.46</v>
      </c>
      <c r="E21" s="5">
        <v>934.58100000000002</v>
      </c>
      <c r="F21" s="5">
        <v>379.24900000000002</v>
      </c>
      <c r="G21" s="5">
        <v>372.84399999999999</v>
      </c>
      <c r="H21" s="5">
        <v>344.40300000000002</v>
      </c>
      <c r="I21" s="5">
        <v>193.93100000000001</v>
      </c>
      <c r="J21" s="5">
        <v>343.80500000000001</v>
      </c>
      <c r="K21" s="5">
        <v>410.23700000000002</v>
      </c>
      <c r="L21" s="5">
        <v>154.358</v>
      </c>
      <c r="M21" s="5">
        <v>374.75299999999999</v>
      </c>
      <c r="N21" s="5">
        <v>129.92500000000001</v>
      </c>
      <c r="O21" s="5">
        <v>122.354</v>
      </c>
      <c r="P21" s="5">
        <v>1055.759</v>
      </c>
      <c r="Q21" s="5">
        <v>1041.27</v>
      </c>
      <c r="R21" s="5">
        <v>435.48099999999999</v>
      </c>
      <c r="S21" s="5">
        <v>392.774</v>
      </c>
      <c r="T21" s="5">
        <v>0</v>
      </c>
      <c r="U21" s="5">
        <v>409.387</v>
      </c>
      <c r="V21" s="5">
        <v>485.25400000000002</v>
      </c>
      <c r="W21" s="5">
        <v>542.10500000000002</v>
      </c>
      <c r="X21" s="5">
        <v>1076.875</v>
      </c>
      <c r="Y21" s="5">
        <v>408.017</v>
      </c>
      <c r="Z21" s="5">
        <v>612.54999999999995</v>
      </c>
      <c r="AA21" s="5">
        <v>639.00800000000004</v>
      </c>
      <c r="AB21" s="5">
        <v>265.233</v>
      </c>
      <c r="AC21" s="5">
        <v>556.98199999999997</v>
      </c>
      <c r="AD21" s="5">
        <v>57.646999999999998</v>
      </c>
      <c r="AE21" s="5">
        <v>854.73299999999995</v>
      </c>
      <c r="AF21" s="5">
        <v>578</v>
      </c>
      <c r="AG21" s="5">
        <v>710.548</v>
      </c>
      <c r="AH21" s="5">
        <v>829.76499999999999</v>
      </c>
      <c r="AI21" s="5">
        <v>585.29499999999996</v>
      </c>
      <c r="AJ21" s="5">
        <v>714.32899999999995</v>
      </c>
      <c r="AK21" s="5">
        <v>858.72500000000002</v>
      </c>
      <c r="AL21" s="5">
        <v>489.096</v>
      </c>
      <c r="AM21" s="5"/>
      <c r="AN21" s="5"/>
      <c r="AO21" s="5"/>
      <c r="AP21" s="5"/>
      <c r="AQ21" s="5"/>
      <c r="AR21" s="5"/>
      <c r="AS21" s="5"/>
      <c r="AT21" s="5"/>
    </row>
    <row r="22" spans="1:46" x14ac:dyDescent="0.3">
      <c r="A22" s="5" t="s">
        <v>78</v>
      </c>
      <c r="B22" s="5">
        <v>773.94899999999996</v>
      </c>
      <c r="C22" s="5">
        <v>796.38699999999994</v>
      </c>
      <c r="D22" s="5">
        <v>819.28</v>
      </c>
      <c r="E22" s="5">
        <v>925.60799999999995</v>
      </c>
      <c r="F22" s="5">
        <v>404.13799999999998</v>
      </c>
      <c r="G22" s="5">
        <v>339.452</v>
      </c>
      <c r="H22" s="5">
        <v>425.18599999999998</v>
      </c>
      <c r="I22" s="5">
        <v>561.45799999999997</v>
      </c>
      <c r="J22" s="5">
        <v>547.78</v>
      </c>
      <c r="K22" s="5">
        <v>491.02</v>
      </c>
      <c r="L22" s="5">
        <v>399.14499999999998</v>
      </c>
      <c r="M22" s="5">
        <v>455.31</v>
      </c>
      <c r="N22" s="5">
        <v>509.10500000000002</v>
      </c>
      <c r="O22" s="5">
        <v>464.45499999999998</v>
      </c>
      <c r="P22" s="5">
        <v>651.57899999999995</v>
      </c>
      <c r="Q22" s="5">
        <v>637.09</v>
      </c>
      <c r="R22" s="5">
        <v>588.88800000000003</v>
      </c>
      <c r="S22" s="5">
        <v>473.33100000000002</v>
      </c>
      <c r="T22" s="5">
        <v>408.59300000000002</v>
      </c>
      <c r="U22" s="5">
        <v>0</v>
      </c>
      <c r="V22" s="5">
        <v>118.19</v>
      </c>
      <c r="W22" s="5">
        <v>135.20099999999999</v>
      </c>
      <c r="X22" s="5">
        <v>672.69500000000005</v>
      </c>
      <c r="Y22" s="5">
        <v>43.847999999999999</v>
      </c>
      <c r="Z22" s="5">
        <v>205.64599999999999</v>
      </c>
      <c r="AA22" s="5">
        <v>232.10400000000001</v>
      </c>
      <c r="AB22" s="5">
        <v>644.41300000000001</v>
      </c>
      <c r="AC22" s="5">
        <v>734.70299999999997</v>
      </c>
      <c r="AD22" s="5">
        <v>362.52100000000002</v>
      </c>
      <c r="AE22" s="5">
        <v>673.39800000000002</v>
      </c>
      <c r="AF22" s="5">
        <v>396.66500000000002</v>
      </c>
      <c r="AG22" s="5">
        <v>529.21299999999997</v>
      </c>
      <c r="AH22" s="5">
        <v>648.42999999999995</v>
      </c>
      <c r="AI22" s="5">
        <v>738.702</v>
      </c>
      <c r="AJ22" s="5">
        <v>576.34900000000005</v>
      </c>
      <c r="AK22" s="5">
        <v>779.84799999999996</v>
      </c>
      <c r="AL22" s="5">
        <v>534.23400000000004</v>
      </c>
      <c r="AM22" s="5"/>
      <c r="AN22" s="5"/>
      <c r="AO22" s="5"/>
      <c r="AP22" s="5"/>
      <c r="AQ22" s="5"/>
      <c r="AR22" s="5"/>
      <c r="AS22" s="5"/>
      <c r="AT22" s="5"/>
    </row>
    <row r="23" spans="1:46" x14ac:dyDescent="0.3">
      <c r="A23" s="5" t="s">
        <v>81</v>
      </c>
      <c r="B23" s="5">
        <v>747.44399999999996</v>
      </c>
      <c r="C23" s="5">
        <v>769.88199999999995</v>
      </c>
      <c r="D23" s="5">
        <v>792.77499999999998</v>
      </c>
      <c r="E23" s="5">
        <v>838.42100000000005</v>
      </c>
      <c r="F23" s="5">
        <v>378.553</v>
      </c>
      <c r="G23" s="5">
        <v>313.86700000000002</v>
      </c>
      <c r="H23" s="5">
        <v>427.89600000000002</v>
      </c>
      <c r="I23" s="5">
        <v>631.58399999999995</v>
      </c>
      <c r="J23" s="5">
        <v>535.22500000000002</v>
      </c>
      <c r="K23" s="5">
        <v>419.11399999999998</v>
      </c>
      <c r="L23" s="5">
        <v>469.27100000000002</v>
      </c>
      <c r="M23" s="5">
        <v>465.41500000000002</v>
      </c>
      <c r="N23" s="5">
        <v>579.23099999999999</v>
      </c>
      <c r="O23" s="5">
        <v>534.58100000000002</v>
      </c>
      <c r="P23" s="5">
        <v>625.07399999999996</v>
      </c>
      <c r="Q23" s="5">
        <v>610.58500000000004</v>
      </c>
      <c r="R23" s="5">
        <v>588.72400000000005</v>
      </c>
      <c r="S23" s="5">
        <v>473.16699999999997</v>
      </c>
      <c r="T23" s="5">
        <v>478.71899999999999</v>
      </c>
      <c r="U23" s="5">
        <v>116.63</v>
      </c>
      <c r="V23" s="5">
        <v>0</v>
      </c>
      <c r="W23" s="5">
        <v>104.554</v>
      </c>
      <c r="X23" s="5">
        <v>646.19000000000005</v>
      </c>
      <c r="Y23" s="5">
        <v>79.447999999999993</v>
      </c>
      <c r="Z23" s="5">
        <v>254.75899999999999</v>
      </c>
      <c r="AA23" s="5">
        <v>205.59899999999999</v>
      </c>
      <c r="AB23" s="5">
        <v>714.53899999999999</v>
      </c>
      <c r="AC23" s="5">
        <v>734.53899999999999</v>
      </c>
      <c r="AD23" s="5">
        <v>432.64699999999999</v>
      </c>
      <c r="AE23" s="5">
        <v>586.21100000000001</v>
      </c>
      <c r="AF23" s="5">
        <v>309.47800000000001</v>
      </c>
      <c r="AG23" s="5">
        <v>442.02600000000001</v>
      </c>
      <c r="AH23" s="5">
        <v>561.24300000000005</v>
      </c>
      <c r="AI23" s="5">
        <v>738.53800000000001</v>
      </c>
      <c r="AJ23" s="5">
        <v>489.16199999999998</v>
      </c>
      <c r="AK23" s="5">
        <v>692.66099999999994</v>
      </c>
      <c r="AL23" s="5">
        <v>447.04700000000003</v>
      </c>
      <c r="AM23" s="5"/>
      <c r="AN23" s="5"/>
      <c r="AO23" s="5"/>
      <c r="AP23" s="5"/>
      <c r="AQ23" s="5"/>
      <c r="AR23" s="5"/>
      <c r="AS23" s="5"/>
      <c r="AT23" s="5"/>
    </row>
    <row r="24" spans="1:46" x14ac:dyDescent="0.3">
      <c r="A24" s="5" t="s">
        <v>84</v>
      </c>
      <c r="B24" s="5">
        <v>651.61900000000003</v>
      </c>
      <c r="C24" s="5">
        <v>674.05700000000002</v>
      </c>
      <c r="D24" s="5">
        <v>696.95</v>
      </c>
      <c r="E24" s="5">
        <v>961.47900000000004</v>
      </c>
      <c r="F24" s="5">
        <v>501.61099999999999</v>
      </c>
      <c r="G24" s="5">
        <v>436.92500000000001</v>
      </c>
      <c r="H24" s="5">
        <v>550.95399999999995</v>
      </c>
      <c r="I24" s="5">
        <v>693.654</v>
      </c>
      <c r="J24" s="5">
        <v>679.976</v>
      </c>
      <c r="K24" s="5">
        <v>542.17200000000003</v>
      </c>
      <c r="L24" s="5">
        <v>531.34100000000001</v>
      </c>
      <c r="M24" s="5">
        <v>588.47299999999996</v>
      </c>
      <c r="N24" s="5">
        <v>641.30100000000004</v>
      </c>
      <c r="O24" s="5">
        <v>596.65099999999995</v>
      </c>
      <c r="P24" s="5">
        <v>529.24900000000002</v>
      </c>
      <c r="Q24" s="5">
        <v>514.76</v>
      </c>
      <c r="R24" s="5">
        <v>711.78200000000004</v>
      </c>
      <c r="S24" s="5">
        <v>596.22500000000002</v>
      </c>
      <c r="T24" s="5">
        <v>540.78899999999999</v>
      </c>
      <c r="U24" s="5">
        <v>135.505</v>
      </c>
      <c r="V24" s="5">
        <v>104.797</v>
      </c>
      <c r="W24" s="5">
        <v>0</v>
      </c>
      <c r="X24" s="5">
        <v>550.36500000000001</v>
      </c>
      <c r="Y24" s="5">
        <v>176.04400000000001</v>
      </c>
      <c r="Z24" s="5">
        <v>248.83799999999999</v>
      </c>
      <c r="AA24" s="5">
        <v>109.774</v>
      </c>
      <c r="AB24" s="5">
        <v>776.60900000000004</v>
      </c>
      <c r="AC24" s="5">
        <v>857.59699999999998</v>
      </c>
      <c r="AD24" s="5">
        <v>494.71699999999998</v>
      </c>
      <c r="AE24" s="5">
        <v>709.26900000000001</v>
      </c>
      <c r="AF24" s="5">
        <v>432.536</v>
      </c>
      <c r="AG24" s="5">
        <v>565.08399999999995</v>
      </c>
      <c r="AH24" s="5">
        <v>630.47799999999995</v>
      </c>
      <c r="AI24" s="5">
        <v>861.596</v>
      </c>
      <c r="AJ24" s="5">
        <v>612.22</v>
      </c>
      <c r="AK24" s="5">
        <v>815.71900000000005</v>
      </c>
      <c r="AL24" s="5">
        <v>570.10500000000002</v>
      </c>
      <c r="AM24" s="5"/>
      <c r="AN24" s="5"/>
      <c r="AO24" s="5"/>
      <c r="AP24" s="5"/>
      <c r="AQ24" s="5"/>
      <c r="AR24" s="5"/>
      <c r="AS24" s="5"/>
      <c r="AT24" s="5"/>
    </row>
    <row r="25" spans="1:46" x14ac:dyDescent="0.3">
      <c r="A25" s="5" t="s">
        <v>87</v>
      </c>
      <c r="B25" s="5">
        <v>165.977</v>
      </c>
      <c r="C25" s="5">
        <v>188.41499999999999</v>
      </c>
      <c r="D25" s="5">
        <v>211.30799999999999</v>
      </c>
      <c r="E25" s="5">
        <v>814.678</v>
      </c>
      <c r="F25" s="5">
        <v>704.42200000000003</v>
      </c>
      <c r="G25" s="5">
        <v>702.01</v>
      </c>
      <c r="H25" s="5">
        <v>755.52499999999998</v>
      </c>
      <c r="I25" s="5">
        <v>1181.2819999999999</v>
      </c>
      <c r="J25" s="5">
        <v>859.40499999999997</v>
      </c>
      <c r="K25" s="5">
        <v>682.84500000000003</v>
      </c>
      <c r="L25" s="5">
        <v>940.59699999999998</v>
      </c>
      <c r="M25" s="5">
        <v>793.04399999999998</v>
      </c>
      <c r="N25" s="5">
        <v>1175.452</v>
      </c>
      <c r="O25" s="5">
        <v>1084.9059999999999</v>
      </c>
      <c r="P25" s="5">
        <v>24.347999999999999</v>
      </c>
      <c r="Q25" s="5">
        <v>37.341000000000001</v>
      </c>
      <c r="R25" s="5">
        <v>809.52499999999998</v>
      </c>
      <c r="S25" s="5">
        <v>800.79600000000005</v>
      </c>
      <c r="T25" s="5">
        <v>1074.94</v>
      </c>
      <c r="U25" s="5">
        <v>672.49099999999999</v>
      </c>
      <c r="V25" s="5">
        <v>646.47900000000004</v>
      </c>
      <c r="W25" s="5">
        <v>550.63599999999997</v>
      </c>
      <c r="X25" s="5">
        <v>0</v>
      </c>
      <c r="Y25" s="5">
        <v>713.03</v>
      </c>
      <c r="Z25" s="5">
        <v>630.38400000000001</v>
      </c>
      <c r="AA25" s="5">
        <v>445.245</v>
      </c>
      <c r="AB25" s="5">
        <v>1310.76</v>
      </c>
      <c r="AC25" s="5">
        <v>961.01099999999997</v>
      </c>
      <c r="AD25" s="5">
        <v>1031.703</v>
      </c>
      <c r="AE25" s="5">
        <v>434.95400000000001</v>
      </c>
      <c r="AF25" s="5">
        <v>503.375</v>
      </c>
      <c r="AG25" s="5">
        <v>367.57900000000001</v>
      </c>
      <c r="AH25" s="5">
        <v>326.48899999999998</v>
      </c>
      <c r="AI25" s="5">
        <v>839.35199999999998</v>
      </c>
      <c r="AJ25" s="5">
        <v>470.28100000000001</v>
      </c>
      <c r="AK25" s="5">
        <v>668.91800000000001</v>
      </c>
      <c r="AL25" s="5">
        <v>604.39099999999996</v>
      </c>
      <c r="AM25" s="5"/>
      <c r="AN25" s="5"/>
      <c r="AO25" s="5"/>
      <c r="AP25" s="5"/>
      <c r="AQ25" s="5"/>
      <c r="AR25" s="5"/>
      <c r="AS25" s="5"/>
      <c r="AT25" s="5"/>
    </row>
    <row r="26" spans="1:46" x14ac:dyDescent="0.3">
      <c r="A26" s="5" t="s">
        <v>90</v>
      </c>
      <c r="B26" s="5">
        <v>813.34400000000005</v>
      </c>
      <c r="C26" s="5">
        <v>835.78200000000004</v>
      </c>
      <c r="D26" s="5">
        <v>858.67499999999995</v>
      </c>
      <c r="E26" s="5">
        <v>887.18</v>
      </c>
      <c r="F26" s="5">
        <v>427.31200000000001</v>
      </c>
      <c r="G26" s="5">
        <v>362.62599999999998</v>
      </c>
      <c r="H26" s="5">
        <v>389.375</v>
      </c>
      <c r="I26" s="5">
        <v>554.80799999999999</v>
      </c>
      <c r="J26" s="5">
        <v>511.96899999999999</v>
      </c>
      <c r="K26" s="5">
        <v>467.87299999999999</v>
      </c>
      <c r="L26" s="5">
        <v>392.495</v>
      </c>
      <c r="M26" s="5">
        <v>419.49900000000002</v>
      </c>
      <c r="N26" s="5">
        <v>502.45499999999998</v>
      </c>
      <c r="O26" s="5">
        <v>457.80500000000001</v>
      </c>
      <c r="P26" s="5">
        <v>690.97400000000005</v>
      </c>
      <c r="Q26" s="5">
        <v>676.48500000000001</v>
      </c>
      <c r="R26" s="5">
        <v>553.077</v>
      </c>
      <c r="S26" s="5">
        <v>437.52</v>
      </c>
      <c r="T26" s="5">
        <v>401.94299999999998</v>
      </c>
      <c r="U26" s="5">
        <v>41.878</v>
      </c>
      <c r="V26" s="5">
        <v>79.762</v>
      </c>
      <c r="W26" s="5">
        <v>174.596</v>
      </c>
      <c r="X26" s="5">
        <v>712.09</v>
      </c>
      <c r="Y26" s="5">
        <v>0</v>
      </c>
      <c r="Z26" s="5">
        <v>245.041</v>
      </c>
      <c r="AA26" s="5">
        <v>271.49900000000002</v>
      </c>
      <c r="AB26" s="5">
        <v>637.76300000000003</v>
      </c>
      <c r="AC26" s="5">
        <v>698.89200000000005</v>
      </c>
      <c r="AD26" s="5">
        <v>355.87099999999998</v>
      </c>
      <c r="AE26" s="5">
        <v>634.97</v>
      </c>
      <c r="AF26" s="5">
        <v>358.23700000000002</v>
      </c>
      <c r="AG26" s="5">
        <v>490.78500000000003</v>
      </c>
      <c r="AH26" s="5">
        <v>610.00199999999995</v>
      </c>
      <c r="AI26" s="5">
        <v>702.89099999999996</v>
      </c>
      <c r="AJ26" s="5">
        <v>537.92100000000005</v>
      </c>
      <c r="AK26" s="5">
        <v>741.42</v>
      </c>
      <c r="AL26" s="5">
        <v>495.80599999999998</v>
      </c>
      <c r="AM26" s="5"/>
      <c r="AN26" s="5"/>
      <c r="AO26" s="5"/>
      <c r="AP26" s="5"/>
      <c r="AQ26" s="5"/>
      <c r="AR26" s="5"/>
      <c r="AS26" s="5"/>
      <c r="AT26" s="5"/>
    </row>
    <row r="27" spans="1:46" x14ac:dyDescent="0.3">
      <c r="A27" s="5" t="s">
        <v>93</v>
      </c>
      <c r="B27" s="5">
        <v>732.56600000000003</v>
      </c>
      <c r="C27" s="5">
        <v>755.00400000000002</v>
      </c>
      <c r="D27" s="5">
        <v>777.89700000000005</v>
      </c>
      <c r="E27" s="5">
        <v>1130.7760000000001</v>
      </c>
      <c r="F27" s="5">
        <v>609.30600000000004</v>
      </c>
      <c r="G27" s="5">
        <v>544.62</v>
      </c>
      <c r="H27" s="5">
        <v>630.35400000000004</v>
      </c>
      <c r="I27" s="5">
        <v>766.62599999999998</v>
      </c>
      <c r="J27" s="5">
        <v>752.94799999999998</v>
      </c>
      <c r="K27" s="5">
        <v>696.18799999999999</v>
      </c>
      <c r="L27" s="5">
        <v>604.31299999999999</v>
      </c>
      <c r="M27" s="5">
        <v>660.47799999999995</v>
      </c>
      <c r="N27" s="5">
        <v>714.27300000000002</v>
      </c>
      <c r="O27" s="5">
        <v>669.62300000000005</v>
      </c>
      <c r="P27" s="5">
        <v>610.19600000000003</v>
      </c>
      <c r="Q27" s="5">
        <v>595.70699999999999</v>
      </c>
      <c r="R27" s="5">
        <v>794.05600000000004</v>
      </c>
      <c r="S27" s="5">
        <v>678.49900000000002</v>
      </c>
      <c r="T27" s="5">
        <v>613.76099999999997</v>
      </c>
      <c r="U27" s="5">
        <v>208.477</v>
      </c>
      <c r="V27" s="5">
        <v>259.596</v>
      </c>
      <c r="W27" s="5">
        <v>203.214</v>
      </c>
      <c r="X27" s="5">
        <v>631.31200000000001</v>
      </c>
      <c r="Y27" s="5">
        <v>249.01599999999999</v>
      </c>
      <c r="Z27" s="5">
        <v>0</v>
      </c>
      <c r="AA27" s="5">
        <v>204.84399999999999</v>
      </c>
      <c r="AB27" s="5">
        <v>849.58100000000002</v>
      </c>
      <c r="AC27" s="5">
        <v>939.87099999999998</v>
      </c>
      <c r="AD27" s="5">
        <v>567.68899999999996</v>
      </c>
      <c r="AE27" s="5">
        <v>819.89</v>
      </c>
      <c r="AF27" s="5">
        <v>601.83299999999997</v>
      </c>
      <c r="AG27" s="5">
        <v>734.38099999999997</v>
      </c>
      <c r="AH27" s="5">
        <v>711.42499999999995</v>
      </c>
      <c r="AI27" s="5">
        <v>943.87</v>
      </c>
      <c r="AJ27" s="5">
        <v>781.51700000000005</v>
      </c>
      <c r="AK27" s="5">
        <v>985.01599999999996</v>
      </c>
      <c r="AL27" s="5">
        <v>739.40200000000004</v>
      </c>
      <c r="AM27" s="5"/>
      <c r="AN27" s="5"/>
      <c r="AO27" s="5"/>
      <c r="AP27" s="5"/>
      <c r="AQ27" s="5"/>
      <c r="AR27" s="5"/>
      <c r="AS27" s="5"/>
      <c r="AT27" s="5"/>
    </row>
    <row r="28" spans="1:46" x14ac:dyDescent="0.3">
      <c r="A28" s="5" t="s">
        <v>96</v>
      </c>
      <c r="B28" s="5">
        <v>547.17600000000004</v>
      </c>
      <c r="C28" s="5">
        <v>569.61400000000003</v>
      </c>
      <c r="D28" s="5">
        <v>592.50699999999995</v>
      </c>
      <c r="E28" s="5">
        <v>923.08299999999997</v>
      </c>
      <c r="F28" s="5">
        <v>463.21499999999997</v>
      </c>
      <c r="G28" s="5">
        <v>398.529</v>
      </c>
      <c r="H28" s="5">
        <v>512.55799999999999</v>
      </c>
      <c r="I28" s="5">
        <v>790.125</v>
      </c>
      <c r="J28" s="5">
        <v>619.88699999999994</v>
      </c>
      <c r="K28" s="5">
        <v>503.77600000000001</v>
      </c>
      <c r="L28" s="5">
        <v>627.81200000000001</v>
      </c>
      <c r="M28" s="5">
        <v>550.077</v>
      </c>
      <c r="N28" s="5">
        <v>737.77200000000005</v>
      </c>
      <c r="O28" s="5">
        <v>693.12199999999996</v>
      </c>
      <c r="P28" s="5">
        <v>424.80599999999998</v>
      </c>
      <c r="Q28" s="5">
        <v>410.31700000000001</v>
      </c>
      <c r="R28" s="5">
        <v>673.38599999999997</v>
      </c>
      <c r="S28" s="5">
        <v>557.82899999999995</v>
      </c>
      <c r="T28" s="5">
        <v>637.26</v>
      </c>
      <c r="U28" s="5">
        <v>231.976</v>
      </c>
      <c r="V28" s="5">
        <v>205.964</v>
      </c>
      <c r="W28" s="5">
        <v>110.121</v>
      </c>
      <c r="X28" s="5">
        <v>445.92200000000003</v>
      </c>
      <c r="Y28" s="5">
        <v>272.51499999999999</v>
      </c>
      <c r="Z28" s="5">
        <v>205.13499999999999</v>
      </c>
      <c r="AA28" s="5">
        <v>0</v>
      </c>
      <c r="AB28" s="5">
        <v>873.08</v>
      </c>
      <c r="AC28" s="5">
        <v>819.20100000000002</v>
      </c>
      <c r="AD28" s="5">
        <v>591.18799999999999</v>
      </c>
      <c r="AE28" s="5">
        <v>634.5</v>
      </c>
      <c r="AF28" s="5">
        <v>394.14</v>
      </c>
      <c r="AG28" s="5">
        <v>526.68799999999999</v>
      </c>
      <c r="AH28" s="5">
        <v>526.03499999999997</v>
      </c>
      <c r="AI28" s="5">
        <v>823.2</v>
      </c>
      <c r="AJ28" s="5">
        <v>573.82399999999996</v>
      </c>
      <c r="AK28" s="5">
        <v>777.32299999999998</v>
      </c>
      <c r="AL28" s="5">
        <v>531.70899999999995</v>
      </c>
      <c r="AM28" s="5"/>
      <c r="AN28" s="5"/>
      <c r="AO28" s="5"/>
      <c r="AP28" s="5"/>
      <c r="AQ28" s="5"/>
      <c r="AR28" s="5"/>
      <c r="AS28" s="5"/>
      <c r="AT28" s="5"/>
    </row>
    <row r="29" spans="1:46" x14ac:dyDescent="0.3">
      <c r="A29" s="5" t="s">
        <v>99</v>
      </c>
      <c r="B29" s="5">
        <v>1413.037</v>
      </c>
      <c r="C29" s="5">
        <v>1435.4749999999999</v>
      </c>
      <c r="D29" s="5">
        <v>1458.3679999999999</v>
      </c>
      <c r="E29" s="5">
        <v>1086.441</v>
      </c>
      <c r="F29" s="5">
        <v>614.15700000000004</v>
      </c>
      <c r="G29" s="5">
        <v>607.75199999999995</v>
      </c>
      <c r="H29" s="5">
        <v>556.93299999999999</v>
      </c>
      <c r="I29" s="5">
        <v>148.18799999999999</v>
      </c>
      <c r="J29" s="5">
        <v>495.66500000000002</v>
      </c>
      <c r="K29" s="5">
        <v>645.14499999999998</v>
      </c>
      <c r="L29" s="5">
        <v>389.26600000000002</v>
      </c>
      <c r="M29" s="5">
        <v>574.28599999999994</v>
      </c>
      <c r="N29" s="5">
        <v>138.32300000000001</v>
      </c>
      <c r="O29" s="5">
        <v>235.27500000000001</v>
      </c>
      <c r="P29" s="5">
        <v>1290.6669999999999</v>
      </c>
      <c r="Q29" s="5">
        <v>1276.1780000000001</v>
      </c>
      <c r="R29" s="5">
        <v>587.34100000000001</v>
      </c>
      <c r="S29" s="5">
        <v>592.30700000000002</v>
      </c>
      <c r="T29" s="5">
        <v>265.61799999999999</v>
      </c>
      <c r="U29" s="5">
        <v>644.29499999999996</v>
      </c>
      <c r="V29" s="5">
        <v>720.16200000000003</v>
      </c>
      <c r="W29" s="5">
        <v>777.01300000000003</v>
      </c>
      <c r="X29" s="5">
        <v>1311.7829999999999</v>
      </c>
      <c r="Y29" s="5">
        <v>642.92499999999995</v>
      </c>
      <c r="Z29" s="5">
        <v>847.45799999999997</v>
      </c>
      <c r="AA29" s="5">
        <v>873.91600000000005</v>
      </c>
      <c r="AB29" s="5">
        <v>0</v>
      </c>
      <c r="AC29" s="5">
        <v>619.58199999999999</v>
      </c>
      <c r="AD29" s="5">
        <v>292.55500000000001</v>
      </c>
      <c r="AE29" s="5">
        <v>1089.6410000000001</v>
      </c>
      <c r="AF29" s="5">
        <v>812.90800000000002</v>
      </c>
      <c r="AG29" s="5">
        <v>945.45699999999999</v>
      </c>
      <c r="AH29" s="5">
        <v>1064.673</v>
      </c>
      <c r="AI29" s="5">
        <v>737.15499999999997</v>
      </c>
      <c r="AJ29" s="5">
        <v>880.35199999999998</v>
      </c>
      <c r="AK29" s="5">
        <v>1024.748</v>
      </c>
      <c r="AL29" s="5">
        <v>724.00400000000002</v>
      </c>
      <c r="AM29" s="5"/>
      <c r="AN29" s="5"/>
      <c r="AO29" s="5"/>
      <c r="AP29" s="5"/>
      <c r="AQ29" s="5"/>
      <c r="AR29" s="5"/>
      <c r="AS29" s="5"/>
      <c r="AT29" s="5"/>
    </row>
    <row r="30" spans="1:46" x14ac:dyDescent="0.3">
      <c r="A30" s="5" t="s">
        <v>102</v>
      </c>
      <c r="B30" s="5">
        <v>1062.931</v>
      </c>
      <c r="C30" s="5">
        <v>1085.3689999999999</v>
      </c>
      <c r="D30" s="5">
        <v>1108.2619999999999</v>
      </c>
      <c r="E30" s="5">
        <v>544.75800000000004</v>
      </c>
      <c r="F30" s="5">
        <v>366.06</v>
      </c>
      <c r="G30" s="5">
        <v>429.67899999999997</v>
      </c>
      <c r="H30" s="5">
        <v>357.55399999999997</v>
      </c>
      <c r="I30" s="5">
        <v>484.69499999999999</v>
      </c>
      <c r="J30" s="5">
        <v>237.90100000000001</v>
      </c>
      <c r="K30" s="5">
        <v>397.048</v>
      </c>
      <c r="L30" s="5">
        <v>422.43700000000001</v>
      </c>
      <c r="M30" s="5">
        <v>286.63400000000001</v>
      </c>
      <c r="N30" s="5">
        <v>574.75199999999995</v>
      </c>
      <c r="O30" s="5">
        <v>439.81599999999997</v>
      </c>
      <c r="P30" s="5">
        <v>940.56100000000004</v>
      </c>
      <c r="Q30" s="5">
        <v>926.072</v>
      </c>
      <c r="R30" s="5">
        <v>168.78700000000001</v>
      </c>
      <c r="S30" s="5">
        <v>282.221</v>
      </c>
      <c r="T30" s="5">
        <v>556.78</v>
      </c>
      <c r="U30" s="5">
        <v>734.49300000000005</v>
      </c>
      <c r="V30" s="5">
        <v>736.35</v>
      </c>
      <c r="W30" s="5">
        <v>867.21100000000001</v>
      </c>
      <c r="X30" s="5">
        <v>961.67700000000002</v>
      </c>
      <c r="Y30" s="5">
        <v>699.625</v>
      </c>
      <c r="Z30" s="5">
        <v>937.65599999999995</v>
      </c>
      <c r="AA30" s="5">
        <v>821.01099999999997</v>
      </c>
      <c r="AB30" s="5">
        <v>619.44299999999998</v>
      </c>
      <c r="AC30" s="5">
        <v>0</v>
      </c>
      <c r="AD30" s="5">
        <v>519.90700000000004</v>
      </c>
      <c r="AE30" s="5">
        <v>699.88300000000004</v>
      </c>
      <c r="AF30" s="5">
        <v>564.81100000000004</v>
      </c>
      <c r="AG30" s="5">
        <v>679.89599999999996</v>
      </c>
      <c r="AH30" s="5">
        <v>715.46</v>
      </c>
      <c r="AI30" s="5">
        <v>194.74600000000001</v>
      </c>
      <c r="AJ30" s="5">
        <v>493.31099999999998</v>
      </c>
      <c r="AK30" s="5">
        <v>625.76400000000001</v>
      </c>
      <c r="AL30" s="5">
        <v>397.41199999999998</v>
      </c>
      <c r="AM30" s="5"/>
      <c r="AN30" s="5"/>
      <c r="AO30" s="5"/>
      <c r="AP30" s="5"/>
      <c r="AQ30" s="5"/>
      <c r="AR30" s="5"/>
      <c r="AS30" s="5"/>
      <c r="AT30" s="5"/>
    </row>
    <row r="31" spans="1:46" x14ac:dyDescent="0.3">
      <c r="A31" s="5" t="s">
        <v>105</v>
      </c>
      <c r="B31" s="5">
        <v>1133.9079999999999</v>
      </c>
      <c r="C31" s="5">
        <v>1156.346</v>
      </c>
      <c r="D31" s="5">
        <v>1179.239</v>
      </c>
      <c r="E31" s="5">
        <v>896.98599999999999</v>
      </c>
      <c r="F31" s="5">
        <v>341.654</v>
      </c>
      <c r="G31" s="5">
        <v>335.24900000000002</v>
      </c>
      <c r="H31" s="5">
        <v>306.80799999999999</v>
      </c>
      <c r="I31" s="5">
        <v>215.083</v>
      </c>
      <c r="J31" s="5">
        <v>306.20999999999998</v>
      </c>
      <c r="K31" s="5">
        <v>372.642</v>
      </c>
      <c r="L31" s="5">
        <v>116.76300000000001</v>
      </c>
      <c r="M31" s="5">
        <v>337.15800000000002</v>
      </c>
      <c r="N31" s="5">
        <v>157.25200000000001</v>
      </c>
      <c r="O31" s="5">
        <v>118.08</v>
      </c>
      <c r="P31" s="5">
        <v>1011.538</v>
      </c>
      <c r="Q31" s="5">
        <v>997.04899999999998</v>
      </c>
      <c r="R31" s="5">
        <v>397.88600000000002</v>
      </c>
      <c r="S31" s="5">
        <v>355.17899999999997</v>
      </c>
      <c r="T31" s="5">
        <v>56.74</v>
      </c>
      <c r="U31" s="5">
        <v>362.44200000000001</v>
      </c>
      <c r="V31" s="5">
        <v>438.30900000000003</v>
      </c>
      <c r="W31" s="5">
        <v>495.16</v>
      </c>
      <c r="X31" s="5">
        <v>1032.654</v>
      </c>
      <c r="Y31" s="5">
        <v>361.072</v>
      </c>
      <c r="Z31" s="5">
        <v>565.60500000000002</v>
      </c>
      <c r="AA31" s="5">
        <v>592.06299999999999</v>
      </c>
      <c r="AB31" s="5">
        <v>292.56</v>
      </c>
      <c r="AC31" s="5">
        <v>519.38699999999994</v>
      </c>
      <c r="AD31" s="5">
        <v>0</v>
      </c>
      <c r="AE31" s="5">
        <v>817.13800000000003</v>
      </c>
      <c r="AF31" s="5">
        <v>540.40499999999997</v>
      </c>
      <c r="AG31" s="5">
        <v>672.95299999999997</v>
      </c>
      <c r="AH31" s="5">
        <v>792.17</v>
      </c>
      <c r="AI31" s="5">
        <v>547.70000000000005</v>
      </c>
      <c r="AJ31" s="5">
        <v>676.73400000000004</v>
      </c>
      <c r="AK31" s="5">
        <v>821.13</v>
      </c>
      <c r="AL31" s="5">
        <v>451.50099999999998</v>
      </c>
      <c r="AM31" s="5"/>
      <c r="AN31" s="5"/>
      <c r="AO31" s="5"/>
      <c r="AP31" s="5"/>
      <c r="AQ31" s="5"/>
      <c r="AR31" s="5"/>
      <c r="AS31" s="5"/>
      <c r="AT31" s="5"/>
    </row>
    <row r="32" spans="1:46" x14ac:dyDescent="0.3">
      <c r="A32" s="5" t="s">
        <v>108</v>
      </c>
      <c r="B32" s="5">
        <v>536.64800000000002</v>
      </c>
      <c r="C32" s="5">
        <v>506.82299999999998</v>
      </c>
      <c r="D32" s="5">
        <v>492.59699999999998</v>
      </c>
      <c r="E32" s="5">
        <v>427.97500000000002</v>
      </c>
      <c r="F32" s="5">
        <v>484.68599999999998</v>
      </c>
      <c r="G32" s="5">
        <v>482.274</v>
      </c>
      <c r="H32" s="5">
        <v>535.78899999999999</v>
      </c>
      <c r="I32" s="5">
        <v>950.2</v>
      </c>
      <c r="J32" s="5">
        <v>597.49300000000005</v>
      </c>
      <c r="K32" s="5">
        <v>463.10899999999998</v>
      </c>
      <c r="L32" s="5">
        <v>720.86099999999999</v>
      </c>
      <c r="M32" s="5">
        <v>551.14400000000001</v>
      </c>
      <c r="N32" s="5">
        <v>955.71600000000001</v>
      </c>
      <c r="O32" s="5">
        <v>853.82399999999996</v>
      </c>
      <c r="P32" s="5">
        <v>414.27800000000002</v>
      </c>
      <c r="Q32" s="5">
        <v>399.78899999999999</v>
      </c>
      <c r="R32" s="5">
        <v>547.61300000000006</v>
      </c>
      <c r="S32" s="5">
        <v>546.73099999999999</v>
      </c>
      <c r="T32" s="5">
        <v>855.20399999999995</v>
      </c>
      <c r="U32" s="5">
        <v>672.92399999999998</v>
      </c>
      <c r="V32" s="5">
        <v>586.76499999999999</v>
      </c>
      <c r="W32" s="5">
        <v>711.00099999999998</v>
      </c>
      <c r="X32" s="5">
        <v>435.39400000000001</v>
      </c>
      <c r="Y32" s="5">
        <v>635.74199999999996</v>
      </c>
      <c r="Z32" s="5">
        <v>819.80399999999997</v>
      </c>
      <c r="AA32" s="5">
        <v>634.66499999999996</v>
      </c>
      <c r="AB32" s="5">
        <v>1084.9480000000001</v>
      </c>
      <c r="AC32" s="5">
        <v>699.09900000000005</v>
      </c>
      <c r="AD32" s="5">
        <v>818.33100000000002</v>
      </c>
      <c r="AE32" s="5">
        <v>0</v>
      </c>
      <c r="AF32" s="5">
        <v>283.63900000000001</v>
      </c>
      <c r="AG32" s="5">
        <v>168.15700000000001</v>
      </c>
      <c r="AH32" s="5">
        <v>114.416</v>
      </c>
      <c r="AI32" s="5">
        <v>561.35199999999998</v>
      </c>
      <c r="AJ32" s="5">
        <v>208.369</v>
      </c>
      <c r="AK32" s="5">
        <v>310.05900000000003</v>
      </c>
      <c r="AL32" s="5">
        <v>349.88200000000001</v>
      </c>
      <c r="AM32" s="5"/>
      <c r="AN32" s="5"/>
      <c r="AO32" s="5"/>
      <c r="AP32" s="5"/>
      <c r="AQ32" s="5"/>
      <c r="AR32" s="5"/>
      <c r="AS32" s="5"/>
      <c r="AT32" s="5"/>
    </row>
    <row r="33" spans="1:46" x14ac:dyDescent="0.3">
      <c r="A33" s="5" t="s">
        <v>111</v>
      </c>
      <c r="B33" s="5">
        <v>605.26900000000001</v>
      </c>
      <c r="C33" s="5">
        <v>627.70699999999999</v>
      </c>
      <c r="D33" s="5">
        <v>650.6</v>
      </c>
      <c r="E33" s="5">
        <v>606.99400000000003</v>
      </c>
      <c r="F33" s="5">
        <v>205.04900000000001</v>
      </c>
      <c r="G33" s="5">
        <v>202.637</v>
      </c>
      <c r="H33" s="5">
        <v>256.15199999999999</v>
      </c>
      <c r="I33" s="5">
        <v>681.90899999999999</v>
      </c>
      <c r="J33" s="5">
        <v>363.48099999999999</v>
      </c>
      <c r="K33" s="5">
        <v>183.47200000000001</v>
      </c>
      <c r="L33" s="5">
        <v>441.22399999999999</v>
      </c>
      <c r="M33" s="5">
        <v>293.67099999999999</v>
      </c>
      <c r="N33" s="5">
        <v>676.07899999999995</v>
      </c>
      <c r="O33" s="5">
        <v>585.53300000000002</v>
      </c>
      <c r="P33" s="5">
        <v>482.899</v>
      </c>
      <c r="Q33" s="5">
        <v>468.41</v>
      </c>
      <c r="R33" s="5">
        <v>416.98</v>
      </c>
      <c r="S33" s="5">
        <v>301.423</v>
      </c>
      <c r="T33" s="5">
        <v>575.56700000000001</v>
      </c>
      <c r="U33" s="5">
        <v>393.28699999999998</v>
      </c>
      <c r="V33" s="5">
        <v>307.12799999999999</v>
      </c>
      <c r="W33" s="5">
        <v>431.36399999999998</v>
      </c>
      <c r="X33" s="5">
        <v>504.01499999999999</v>
      </c>
      <c r="Y33" s="5">
        <v>356.10500000000002</v>
      </c>
      <c r="Z33" s="5">
        <v>596.45000000000005</v>
      </c>
      <c r="AA33" s="5">
        <v>391.78899999999999</v>
      </c>
      <c r="AB33" s="5">
        <v>811.38699999999994</v>
      </c>
      <c r="AC33" s="5">
        <v>562.79499999999996</v>
      </c>
      <c r="AD33" s="5">
        <v>538.69399999999996</v>
      </c>
      <c r="AE33" s="5">
        <v>281.87299999999999</v>
      </c>
      <c r="AF33" s="5">
        <v>0</v>
      </c>
      <c r="AG33" s="5">
        <v>137.68799999999999</v>
      </c>
      <c r="AH33" s="5">
        <v>256.90499999999997</v>
      </c>
      <c r="AI33" s="5">
        <v>566.79399999999998</v>
      </c>
      <c r="AJ33" s="5">
        <v>260.01600000000002</v>
      </c>
      <c r="AK33" s="5">
        <v>461.23399999999998</v>
      </c>
      <c r="AL33" s="5">
        <v>179.21299999999999</v>
      </c>
      <c r="AM33" s="5"/>
      <c r="AN33" s="5"/>
      <c r="AO33" s="5"/>
      <c r="AP33" s="5"/>
      <c r="AQ33" s="5"/>
      <c r="AR33" s="5"/>
      <c r="AS33" s="5"/>
      <c r="AT33" s="5"/>
    </row>
    <row r="34" spans="1:46" x14ac:dyDescent="0.3">
      <c r="A34" s="5" t="s">
        <v>114</v>
      </c>
      <c r="B34" s="5">
        <v>469.80599999999998</v>
      </c>
      <c r="C34" s="5">
        <v>492.24400000000003</v>
      </c>
      <c r="D34" s="5">
        <v>515.13699999999994</v>
      </c>
      <c r="E34" s="5">
        <v>532.74199999999996</v>
      </c>
      <c r="F34" s="5">
        <v>338.93900000000002</v>
      </c>
      <c r="G34" s="5">
        <v>336.52699999999999</v>
      </c>
      <c r="H34" s="5">
        <v>390.04199999999997</v>
      </c>
      <c r="I34" s="5">
        <v>815.8</v>
      </c>
      <c r="J34" s="5">
        <v>497.37099999999998</v>
      </c>
      <c r="K34" s="5">
        <v>317.36200000000002</v>
      </c>
      <c r="L34" s="5">
        <v>575.11500000000001</v>
      </c>
      <c r="M34" s="5">
        <v>427.56099999999998</v>
      </c>
      <c r="N34" s="5">
        <v>809.97</v>
      </c>
      <c r="O34" s="5">
        <v>719.42399999999998</v>
      </c>
      <c r="P34" s="5">
        <v>347.43599999999998</v>
      </c>
      <c r="Q34" s="5">
        <v>332.947</v>
      </c>
      <c r="R34" s="5">
        <v>527.58900000000006</v>
      </c>
      <c r="S34" s="5">
        <v>435.31299999999999</v>
      </c>
      <c r="T34" s="5">
        <v>709.45799999999997</v>
      </c>
      <c r="U34" s="5">
        <v>527.178</v>
      </c>
      <c r="V34" s="5">
        <v>441.01799999999997</v>
      </c>
      <c r="W34" s="5">
        <v>565.255</v>
      </c>
      <c r="X34" s="5">
        <v>368.55200000000002</v>
      </c>
      <c r="Y34" s="5">
        <v>489.995</v>
      </c>
      <c r="Z34" s="5">
        <v>730.34100000000001</v>
      </c>
      <c r="AA34" s="5">
        <v>525.67999999999995</v>
      </c>
      <c r="AB34" s="5">
        <v>945.27800000000002</v>
      </c>
      <c r="AC34" s="5">
        <v>679.07500000000005</v>
      </c>
      <c r="AD34" s="5">
        <v>672.58500000000004</v>
      </c>
      <c r="AE34" s="5">
        <v>168.38200000000001</v>
      </c>
      <c r="AF34" s="5">
        <v>137.892</v>
      </c>
      <c r="AG34" s="5">
        <v>0</v>
      </c>
      <c r="AH34" s="5">
        <v>143.41399999999999</v>
      </c>
      <c r="AI34" s="5">
        <v>557.41600000000005</v>
      </c>
      <c r="AJ34" s="5">
        <v>188.34399999999999</v>
      </c>
      <c r="AK34" s="5">
        <v>386.98099999999999</v>
      </c>
      <c r="AL34" s="5">
        <v>239.97399999999999</v>
      </c>
      <c r="AM34" s="5"/>
      <c r="AN34" s="5"/>
      <c r="AO34" s="5"/>
      <c r="AP34" s="5"/>
      <c r="AQ34" s="5"/>
      <c r="AR34" s="5"/>
      <c r="AS34" s="5"/>
      <c r="AT34" s="5"/>
    </row>
    <row r="35" spans="1:46" x14ac:dyDescent="0.3">
      <c r="A35" s="5" t="s">
        <v>117</v>
      </c>
      <c r="B35" s="5">
        <v>430.13600000000002</v>
      </c>
      <c r="C35" s="5">
        <v>452.57400000000001</v>
      </c>
      <c r="D35" s="5">
        <v>475.46699999999998</v>
      </c>
      <c r="E35" s="5">
        <v>543.40599999999995</v>
      </c>
      <c r="F35" s="5">
        <v>457.68700000000001</v>
      </c>
      <c r="G35" s="5">
        <v>455.27499999999998</v>
      </c>
      <c r="H35" s="5">
        <v>508.79</v>
      </c>
      <c r="I35" s="5">
        <v>934.54700000000003</v>
      </c>
      <c r="J35" s="5">
        <v>613.01099999999997</v>
      </c>
      <c r="K35" s="5">
        <v>436.11</v>
      </c>
      <c r="L35" s="5">
        <v>693.86199999999997</v>
      </c>
      <c r="M35" s="5">
        <v>546.30899999999997</v>
      </c>
      <c r="N35" s="5">
        <v>928.71699999999998</v>
      </c>
      <c r="O35" s="5">
        <v>838.17100000000005</v>
      </c>
      <c r="P35" s="5">
        <v>307.76600000000002</v>
      </c>
      <c r="Q35" s="5">
        <v>293.27699999999999</v>
      </c>
      <c r="R35" s="5">
        <v>563.13099999999997</v>
      </c>
      <c r="S35" s="5">
        <v>562.24900000000002</v>
      </c>
      <c r="T35" s="5">
        <v>828.20500000000004</v>
      </c>
      <c r="U35" s="5">
        <v>645.92499999999995</v>
      </c>
      <c r="V35" s="5">
        <v>559.76599999999996</v>
      </c>
      <c r="W35" s="5">
        <v>633.54399999999998</v>
      </c>
      <c r="X35" s="5">
        <v>328.88200000000001</v>
      </c>
      <c r="Y35" s="5">
        <v>608.74300000000005</v>
      </c>
      <c r="Z35" s="5">
        <v>713.29200000000003</v>
      </c>
      <c r="AA35" s="5">
        <v>528.15300000000002</v>
      </c>
      <c r="AB35" s="5">
        <v>1064.0250000000001</v>
      </c>
      <c r="AC35" s="5">
        <v>714.61699999999996</v>
      </c>
      <c r="AD35" s="5">
        <v>791.33199999999999</v>
      </c>
      <c r="AE35" s="5">
        <v>107.30500000000001</v>
      </c>
      <c r="AF35" s="5">
        <v>256.64</v>
      </c>
      <c r="AG35" s="5">
        <v>141.15799999999999</v>
      </c>
      <c r="AH35" s="5">
        <v>0</v>
      </c>
      <c r="AI35" s="5">
        <v>592.95799999999997</v>
      </c>
      <c r="AJ35" s="5">
        <v>223.887</v>
      </c>
      <c r="AK35" s="5">
        <v>397.64600000000002</v>
      </c>
      <c r="AL35" s="5">
        <v>357.99700000000001</v>
      </c>
      <c r="AM35" s="5"/>
      <c r="AN35" s="5"/>
      <c r="AO35" s="5"/>
      <c r="AP35" s="5"/>
      <c r="AQ35" s="5"/>
      <c r="AR35" s="5"/>
      <c r="AS35" s="5"/>
      <c r="AT35" s="5"/>
    </row>
    <row r="36" spans="1:46" x14ac:dyDescent="0.3">
      <c r="A36" s="5" t="s">
        <v>7</v>
      </c>
      <c r="B36" s="5">
        <v>940.48599999999999</v>
      </c>
      <c r="C36" s="5">
        <v>962.92399999999998</v>
      </c>
      <c r="D36" s="5">
        <v>985.81700000000001</v>
      </c>
      <c r="E36" s="5">
        <v>378.101</v>
      </c>
      <c r="F36" s="5">
        <v>369.18</v>
      </c>
      <c r="G36" s="5">
        <v>432.79899999999998</v>
      </c>
      <c r="H36" s="5">
        <v>360.67399999999998</v>
      </c>
      <c r="I36" s="5">
        <v>602.41899999999998</v>
      </c>
      <c r="J36" s="5">
        <v>249.71199999999999</v>
      </c>
      <c r="K36" s="5">
        <v>400.16800000000001</v>
      </c>
      <c r="L36" s="5">
        <v>450.46800000000002</v>
      </c>
      <c r="M36" s="5">
        <v>289.75400000000002</v>
      </c>
      <c r="N36" s="5">
        <v>640.97900000000004</v>
      </c>
      <c r="O36" s="5">
        <v>506.04300000000001</v>
      </c>
      <c r="P36" s="5">
        <v>818.11599999999999</v>
      </c>
      <c r="Q36" s="5">
        <v>803.62699999999995</v>
      </c>
      <c r="R36" s="5">
        <v>162.732</v>
      </c>
      <c r="S36" s="5">
        <v>285.34100000000001</v>
      </c>
      <c r="T36" s="5">
        <v>584.81100000000004</v>
      </c>
      <c r="U36" s="5">
        <v>737.61300000000006</v>
      </c>
      <c r="V36" s="5">
        <v>739.47</v>
      </c>
      <c r="W36" s="5">
        <v>870.33100000000002</v>
      </c>
      <c r="X36" s="5">
        <v>839.23199999999997</v>
      </c>
      <c r="Y36" s="5">
        <v>702.745</v>
      </c>
      <c r="Z36" s="5">
        <v>940.77599999999995</v>
      </c>
      <c r="AA36" s="5">
        <v>824.13099999999997</v>
      </c>
      <c r="AB36" s="5">
        <v>737.16700000000003</v>
      </c>
      <c r="AC36" s="5">
        <v>196.251</v>
      </c>
      <c r="AD36" s="5">
        <v>547.93799999999999</v>
      </c>
      <c r="AE36" s="5">
        <v>560.60199999999998</v>
      </c>
      <c r="AF36" s="5">
        <v>567.93100000000004</v>
      </c>
      <c r="AG36" s="5">
        <v>557.45100000000002</v>
      </c>
      <c r="AH36" s="5">
        <v>593.01499999999999</v>
      </c>
      <c r="AI36" s="5">
        <v>0</v>
      </c>
      <c r="AJ36" s="5">
        <v>370.86599999999999</v>
      </c>
      <c r="AK36" s="5">
        <v>383.22699999999998</v>
      </c>
      <c r="AL36" s="5">
        <v>384.524</v>
      </c>
      <c r="AM36" s="5"/>
      <c r="AN36" s="5"/>
      <c r="AO36" s="5"/>
      <c r="AP36" s="5"/>
      <c r="AQ36" s="5"/>
      <c r="AR36" s="5"/>
      <c r="AS36" s="5"/>
      <c r="AT36" s="5"/>
    </row>
    <row r="37" spans="1:46" x14ac:dyDescent="0.3">
      <c r="A37" s="5" t="s">
        <v>122</v>
      </c>
      <c r="B37" s="5">
        <v>571.68399999999997</v>
      </c>
      <c r="C37" s="5">
        <v>594.12199999999996</v>
      </c>
      <c r="D37" s="5">
        <v>617.01499999999999</v>
      </c>
      <c r="E37" s="5">
        <v>349.678</v>
      </c>
      <c r="F37" s="5">
        <v>315.166</v>
      </c>
      <c r="G37" s="5">
        <v>312.75400000000002</v>
      </c>
      <c r="H37" s="5">
        <v>416.39499999999998</v>
      </c>
      <c r="I37" s="5">
        <v>744.53099999999995</v>
      </c>
      <c r="J37" s="5">
        <v>391.82400000000001</v>
      </c>
      <c r="K37" s="5">
        <v>243.06700000000001</v>
      </c>
      <c r="L37" s="5">
        <v>579.25800000000004</v>
      </c>
      <c r="M37" s="5">
        <v>345.47500000000002</v>
      </c>
      <c r="N37" s="5">
        <v>783.09100000000001</v>
      </c>
      <c r="O37" s="5">
        <v>648.15499999999997</v>
      </c>
      <c r="P37" s="5">
        <v>449.31400000000002</v>
      </c>
      <c r="Q37" s="5">
        <v>434.82499999999999</v>
      </c>
      <c r="R37" s="5">
        <v>341.94400000000002</v>
      </c>
      <c r="S37" s="5">
        <v>341.06200000000001</v>
      </c>
      <c r="T37" s="5">
        <v>713.601</v>
      </c>
      <c r="U37" s="5">
        <v>575.49900000000002</v>
      </c>
      <c r="V37" s="5">
        <v>489.34</v>
      </c>
      <c r="W37" s="5">
        <v>613.57600000000002</v>
      </c>
      <c r="X37" s="5">
        <v>470.43</v>
      </c>
      <c r="Y37" s="5">
        <v>538.31700000000001</v>
      </c>
      <c r="Z37" s="5">
        <v>778.66200000000003</v>
      </c>
      <c r="AA37" s="5">
        <v>574.00099999999998</v>
      </c>
      <c r="AB37" s="5">
        <v>879.279</v>
      </c>
      <c r="AC37" s="5">
        <v>493.43</v>
      </c>
      <c r="AD37" s="5">
        <v>676.72799999999995</v>
      </c>
      <c r="AE37" s="5">
        <v>208.636</v>
      </c>
      <c r="AF37" s="5">
        <v>261.50799999999998</v>
      </c>
      <c r="AG37" s="5">
        <v>188.649</v>
      </c>
      <c r="AH37" s="5">
        <v>224.21299999999999</v>
      </c>
      <c r="AI37" s="5">
        <v>371.77100000000002</v>
      </c>
      <c r="AJ37" s="5">
        <v>0</v>
      </c>
      <c r="AK37" s="5">
        <v>203.91800000000001</v>
      </c>
      <c r="AL37" s="5">
        <v>157.952</v>
      </c>
      <c r="AM37" s="5"/>
      <c r="AN37" s="5"/>
      <c r="AO37" s="5"/>
      <c r="AP37" s="5"/>
      <c r="AQ37" s="5"/>
      <c r="AR37" s="5"/>
      <c r="AS37" s="5"/>
      <c r="AT37" s="5"/>
    </row>
    <row r="38" spans="1:46" x14ac:dyDescent="0.3">
      <c r="A38" s="5" t="s">
        <v>125</v>
      </c>
      <c r="B38" s="5">
        <v>769.44600000000003</v>
      </c>
      <c r="C38" s="5">
        <v>791.88400000000001</v>
      </c>
      <c r="D38" s="5">
        <v>724.27499999999998</v>
      </c>
      <c r="E38" s="5">
        <v>148.92500000000001</v>
      </c>
      <c r="F38" s="5">
        <v>569.15899999999999</v>
      </c>
      <c r="G38" s="5">
        <v>514.83699999999999</v>
      </c>
      <c r="H38" s="5">
        <v>560.65300000000002</v>
      </c>
      <c r="I38" s="5">
        <v>888.78899999999999</v>
      </c>
      <c r="J38" s="5">
        <v>536.08199999999999</v>
      </c>
      <c r="K38" s="5">
        <v>415.27300000000002</v>
      </c>
      <c r="L38" s="5">
        <v>723.51599999999996</v>
      </c>
      <c r="M38" s="5">
        <v>489.733</v>
      </c>
      <c r="N38" s="5">
        <v>927.34900000000005</v>
      </c>
      <c r="O38" s="5">
        <v>792.41300000000001</v>
      </c>
      <c r="P38" s="5">
        <v>647.07600000000002</v>
      </c>
      <c r="Q38" s="5">
        <v>632.58699999999999</v>
      </c>
      <c r="R38" s="5">
        <v>486.202</v>
      </c>
      <c r="S38" s="5">
        <v>485.32</v>
      </c>
      <c r="T38" s="5">
        <v>857.85900000000004</v>
      </c>
      <c r="U38" s="5">
        <v>777.58199999999999</v>
      </c>
      <c r="V38" s="5">
        <v>691.423</v>
      </c>
      <c r="W38" s="5">
        <v>815.65899999999999</v>
      </c>
      <c r="X38" s="5">
        <v>668.19200000000001</v>
      </c>
      <c r="Y38" s="5">
        <v>740.4</v>
      </c>
      <c r="Z38" s="5">
        <v>980.745</v>
      </c>
      <c r="AA38" s="5">
        <v>776.08399999999995</v>
      </c>
      <c r="AB38" s="5">
        <v>1023.537</v>
      </c>
      <c r="AC38" s="5">
        <v>627.601</v>
      </c>
      <c r="AD38" s="5">
        <v>820.98599999999999</v>
      </c>
      <c r="AE38" s="5">
        <v>274.07600000000002</v>
      </c>
      <c r="AF38" s="5">
        <v>462.58600000000001</v>
      </c>
      <c r="AG38" s="5">
        <v>386.411</v>
      </c>
      <c r="AH38" s="5">
        <v>396.935</v>
      </c>
      <c r="AI38" s="5">
        <v>382.81900000000002</v>
      </c>
      <c r="AJ38" s="5">
        <v>203.142</v>
      </c>
      <c r="AK38" s="5">
        <v>0</v>
      </c>
      <c r="AL38" s="5">
        <v>328.012</v>
      </c>
      <c r="AM38" s="5"/>
      <c r="AN38" s="5"/>
      <c r="AO38" s="5"/>
      <c r="AP38" s="5"/>
      <c r="AQ38" s="5"/>
      <c r="AR38" s="5"/>
      <c r="AS38" s="5"/>
      <c r="AT38" s="5"/>
    </row>
    <row r="39" spans="1:46" x14ac:dyDescent="0.3">
      <c r="A39" s="5" t="s">
        <v>128</v>
      </c>
      <c r="B39" s="5">
        <v>704.12</v>
      </c>
      <c r="C39" s="5">
        <v>726.55799999999999</v>
      </c>
      <c r="D39" s="5">
        <v>749.45100000000002</v>
      </c>
      <c r="E39" s="5">
        <v>473.96600000000001</v>
      </c>
      <c r="F39" s="5">
        <v>116.782</v>
      </c>
      <c r="G39" s="5">
        <v>190.59800000000001</v>
      </c>
      <c r="H39" s="5">
        <v>167.88499999999999</v>
      </c>
      <c r="I39" s="5">
        <v>593.64200000000005</v>
      </c>
      <c r="J39" s="5">
        <v>264.97800000000001</v>
      </c>
      <c r="K39" s="5">
        <v>77.162000000000006</v>
      </c>
      <c r="L39" s="5">
        <v>352.95699999999999</v>
      </c>
      <c r="M39" s="5">
        <v>226.749</v>
      </c>
      <c r="N39" s="5">
        <v>587.81200000000001</v>
      </c>
      <c r="O39" s="5">
        <v>497.26600000000002</v>
      </c>
      <c r="P39" s="5">
        <v>581.75</v>
      </c>
      <c r="Q39" s="5">
        <v>567.26099999999997</v>
      </c>
      <c r="R39" s="5">
        <v>245.61600000000001</v>
      </c>
      <c r="S39" s="5">
        <v>191.07499999999999</v>
      </c>
      <c r="T39" s="5">
        <v>487.3</v>
      </c>
      <c r="U39" s="5">
        <v>532.13800000000003</v>
      </c>
      <c r="V39" s="5">
        <v>445.97899999999998</v>
      </c>
      <c r="W39" s="5">
        <v>570.21500000000003</v>
      </c>
      <c r="X39" s="5">
        <v>602.86599999999999</v>
      </c>
      <c r="Y39" s="5">
        <v>494.95600000000002</v>
      </c>
      <c r="Z39" s="5">
        <v>735.30100000000004</v>
      </c>
      <c r="AA39" s="5">
        <v>530.64</v>
      </c>
      <c r="AB39" s="5">
        <v>723.12</v>
      </c>
      <c r="AC39" s="5">
        <v>397.10199999999998</v>
      </c>
      <c r="AD39" s="5">
        <v>450.42700000000002</v>
      </c>
      <c r="AE39" s="5">
        <v>349.49200000000002</v>
      </c>
      <c r="AF39" s="5">
        <v>179.476</v>
      </c>
      <c r="AG39" s="5">
        <v>237.92699999999999</v>
      </c>
      <c r="AH39" s="5">
        <v>356.649</v>
      </c>
      <c r="AI39" s="5">
        <v>384.43400000000003</v>
      </c>
      <c r="AJ39" s="5">
        <v>157.88900000000001</v>
      </c>
      <c r="AK39" s="5">
        <v>328.20600000000002</v>
      </c>
      <c r="AL39" s="5">
        <v>0</v>
      </c>
      <c r="AM39" s="5"/>
      <c r="AN39" s="5"/>
      <c r="AO39" s="5"/>
      <c r="AP39" s="5"/>
      <c r="AQ39" s="5"/>
      <c r="AR39" s="5"/>
      <c r="AS39" s="5"/>
      <c r="AT39" s="5"/>
    </row>
    <row r="40" spans="1:4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</row>
    <row r="41" spans="1:46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</row>
    <row r="42" spans="1:46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</row>
    <row r="43" spans="1:46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</row>
    <row r="44" spans="1:46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</row>
    <row r="45" spans="1:46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</row>
    <row r="46" spans="1:46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</row>
    <row r="47" spans="1:46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F6E92-EF74-430F-8A59-C1688CC18BFF}">
  <sheetPr codeName="Feuil44"/>
  <dimension ref="A1:B4"/>
  <sheetViews>
    <sheetView workbookViewId="0">
      <selection activeCell="A2" sqref="A2:A3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32" t="s">
        <v>1438</v>
      </c>
      <c r="B2" t="s">
        <v>279</v>
      </c>
    </row>
    <row r="3" spans="1:2" x14ac:dyDescent="0.3">
      <c r="A3" s="32" t="s">
        <v>1439</v>
      </c>
      <c r="B3" t="s">
        <v>280</v>
      </c>
    </row>
    <row r="4" spans="1:2" x14ac:dyDescent="0.3">
      <c r="A4" s="5" t="s">
        <v>308</v>
      </c>
      <c r="B4" s="5" t="s">
        <v>307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D8F8-3485-4E70-9E44-85B841C1164C}">
  <sheetPr codeName="Feuil45"/>
  <dimension ref="A1:K11"/>
  <sheetViews>
    <sheetView workbookViewId="0">
      <selection activeCell="A3" sqref="A3"/>
    </sheetView>
  </sheetViews>
  <sheetFormatPr baseColWidth="10" defaultRowHeight="14.4" x14ac:dyDescent="0.3"/>
  <cols>
    <col min="2" max="2" width="15.21875" bestFit="1" customWidth="1"/>
  </cols>
  <sheetData>
    <row r="1" spans="1:11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</row>
    <row r="2" spans="1:11" x14ac:dyDescent="0.3">
      <c r="A2" t="s">
        <v>23</v>
      </c>
      <c r="B2" t="str" cm="1">
        <f t="array" ref="B2:J2">TRANSPOSE(A3:A11)</f>
        <v xml:space="preserve">Kurfürstendamm 195, 10707 Berlin </v>
      </c>
      <c r="C2" t="str">
        <v>Gradestraße 91, 12347 Berlin</v>
      </c>
      <c r="D2" t="str">
        <v>Lademannbogen 130, 22339 Hamburg</v>
      </c>
      <c r="E2" t="str">
        <v>Lindberghstraße 13, 80939 München</v>
      </c>
      <c r="F2" t="str">
        <v>Berner Straße 77, 60437 Frankfurt am Main</v>
      </c>
      <c r="G2" t="str">
        <v>Dieselstraße 26, 70771 Leinfelden-Echterdingen</v>
      </c>
      <c r="H2" t="str">
        <v>Am Trippelsberg 41, 40589 Düsseldorf</v>
      </c>
      <c r="I2" t="str">
        <v>Mathias-Brüggen-Straße 132, 50829 Köln</v>
      </c>
      <c r="J2" t="str">
        <v>Klönnestraße 89, 44143 Dortmund</v>
      </c>
    </row>
    <row r="3" spans="1:11" x14ac:dyDescent="0.3">
      <c r="A3" s="19" t="s">
        <v>1451</v>
      </c>
      <c r="B3">
        <v>0</v>
      </c>
      <c r="C3">
        <v>12.173999999999999</v>
      </c>
      <c r="D3">
        <v>291.24</v>
      </c>
      <c r="E3">
        <v>571.91</v>
      </c>
      <c r="F3">
        <v>527.78599999999994</v>
      </c>
      <c r="G3">
        <v>641.06100000000004</v>
      </c>
      <c r="H3">
        <v>548.29200000000003</v>
      </c>
      <c r="I3">
        <v>561.70399999999995</v>
      </c>
      <c r="J3">
        <v>486.50099999999998</v>
      </c>
    </row>
    <row r="4" spans="1:11" x14ac:dyDescent="0.3">
      <c r="A4" t="s">
        <v>1335</v>
      </c>
      <c r="B4">
        <v>11.964</v>
      </c>
      <c r="C4">
        <v>0</v>
      </c>
      <c r="D4">
        <v>300.36700000000002</v>
      </c>
      <c r="E4">
        <v>581.03700000000003</v>
      </c>
      <c r="F4">
        <v>536.91300000000001</v>
      </c>
      <c r="G4">
        <v>650.18799999999999</v>
      </c>
      <c r="H4">
        <v>557.41899999999998</v>
      </c>
      <c r="I4">
        <v>570.83100000000002</v>
      </c>
      <c r="J4">
        <v>495.62799999999999</v>
      </c>
    </row>
    <row r="5" spans="1:11" x14ac:dyDescent="0.3">
      <c r="A5" t="s">
        <v>1337</v>
      </c>
      <c r="B5">
        <v>291.38299999999998</v>
      </c>
      <c r="C5">
        <v>300.49900000000002</v>
      </c>
      <c r="D5">
        <v>0</v>
      </c>
      <c r="E5">
        <v>806.10500000000002</v>
      </c>
      <c r="F5">
        <v>502.63499999999999</v>
      </c>
      <c r="G5">
        <v>691.73400000000004</v>
      </c>
      <c r="H5">
        <v>416.83600000000001</v>
      </c>
      <c r="I5">
        <v>430.24799999999999</v>
      </c>
      <c r="J5">
        <v>355.04500000000002</v>
      </c>
    </row>
    <row r="6" spans="1:11" x14ac:dyDescent="0.3">
      <c r="A6" t="s">
        <v>1339</v>
      </c>
      <c r="B6">
        <v>570.70100000000002</v>
      </c>
      <c r="C6">
        <v>579.81700000000001</v>
      </c>
      <c r="D6">
        <v>804.79399999999998</v>
      </c>
      <c r="E6">
        <v>0</v>
      </c>
      <c r="F6">
        <v>397.72899999999998</v>
      </c>
      <c r="G6">
        <v>216.68199999999999</v>
      </c>
      <c r="H6">
        <v>595.553</v>
      </c>
      <c r="I6">
        <v>598.95299999999997</v>
      </c>
      <c r="J6">
        <v>597.29300000000001</v>
      </c>
    </row>
    <row r="7" spans="1:11" x14ac:dyDescent="0.3">
      <c r="A7" t="s">
        <v>1341</v>
      </c>
      <c r="B7">
        <v>526.93799999999999</v>
      </c>
      <c r="C7">
        <v>536.05399999999997</v>
      </c>
      <c r="D7">
        <v>500.71699999999998</v>
      </c>
      <c r="E7">
        <v>399.57799999999997</v>
      </c>
      <c r="F7">
        <v>0</v>
      </c>
      <c r="G7">
        <v>217.28800000000001</v>
      </c>
      <c r="H7">
        <v>221.363</v>
      </c>
      <c r="I7">
        <v>203.56899999999999</v>
      </c>
      <c r="J7">
        <v>207.37799999999999</v>
      </c>
    </row>
    <row r="8" spans="1:11" x14ac:dyDescent="0.3">
      <c r="A8" t="s">
        <v>1342</v>
      </c>
      <c r="B8">
        <v>641.16800000000001</v>
      </c>
      <c r="C8">
        <v>650.28399999999999</v>
      </c>
      <c r="D8">
        <v>692.06200000000001</v>
      </c>
      <c r="E8">
        <v>217.27199999999999</v>
      </c>
      <c r="F8">
        <v>217.53399999999999</v>
      </c>
      <c r="G8">
        <v>0</v>
      </c>
      <c r="H8">
        <v>398.173</v>
      </c>
      <c r="I8">
        <v>385.3</v>
      </c>
      <c r="J8">
        <v>420.21899999999999</v>
      </c>
    </row>
    <row r="9" spans="1:11" x14ac:dyDescent="0.3">
      <c r="A9" t="s">
        <v>1344</v>
      </c>
      <c r="B9">
        <v>547.72799999999995</v>
      </c>
      <c r="C9">
        <v>556.84400000000005</v>
      </c>
      <c r="D9">
        <v>416.56099999999998</v>
      </c>
      <c r="E9">
        <v>596.54100000000005</v>
      </c>
      <c r="F9">
        <v>222.34299999999999</v>
      </c>
      <c r="G9">
        <v>397.77600000000001</v>
      </c>
      <c r="H9">
        <v>0</v>
      </c>
      <c r="I9">
        <v>30.082000000000001</v>
      </c>
      <c r="J9">
        <v>74.789000000000001</v>
      </c>
    </row>
    <row r="10" spans="1:11" x14ac:dyDescent="0.3">
      <c r="A10" t="s">
        <v>1345</v>
      </c>
      <c r="B10">
        <v>561.27300000000002</v>
      </c>
      <c r="C10">
        <v>570.38900000000001</v>
      </c>
      <c r="D10">
        <v>430.10599999999999</v>
      </c>
      <c r="E10">
        <v>578.62599999999998</v>
      </c>
      <c r="F10">
        <v>204.428</v>
      </c>
      <c r="G10">
        <v>379.86099999999999</v>
      </c>
      <c r="H10">
        <v>34.290999999999997</v>
      </c>
      <c r="I10">
        <v>0</v>
      </c>
      <c r="J10">
        <v>88.817999999999998</v>
      </c>
    </row>
    <row r="11" spans="1:11" ht="15" thickBot="1" x14ac:dyDescent="0.35">
      <c r="A11" s="26" t="s">
        <v>1346</v>
      </c>
      <c r="B11">
        <v>487.12900000000002</v>
      </c>
      <c r="C11">
        <v>496.245</v>
      </c>
      <c r="D11">
        <v>355.96199999999999</v>
      </c>
      <c r="E11">
        <v>599.97900000000004</v>
      </c>
      <c r="F11">
        <v>209.98599999999999</v>
      </c>
      <c r="G11">
        <v>421.28699999999998</v>
      </c>
      <c r="H11">
        <v>75.311999999999998</v>
      </c>
      <c r="I11">
        <v>89.132000000000005</v>
      </c>
      <c r="J11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B0B8-95F4-4ABD-873E-274DA73806BB}">
  <sheetPr codeName="Feuil46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1451</v>
      </c>
      <c r="B2" t="s">
        <v>218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AEA01-BCCA-43B2-B6AF-C827DFC3181F}">
  <sheetPr codeName="Feuil47"/>
  <dimension ref="A1:K11"/>
  <sheetViews>
    <sheetView workbookViewId="0">
      <selection activeCell="A3" sqref="A3"/>
    </sheetView>
  </sheetViews>
  <sheetFormatPr baseColWidth="10" defaultRowHeight="14.4" x14ac:dyDescent="0.3"/>
  <cols>
    <col min="2" max="2" width="15.21875" bestFit="1" customWidth="1"/>
  </cols>
  <sheetData>
    <row r="1" spans="1:11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</row>
    <row r="2" spans="1:11" x14ac:dyDescent="0.3">
      <c r="A2" t="s">
        <v>23</v>
      </c>
      <c r="B2" t="str" cm="1">
        <f t="array" ref="B2:J2">TRANSPOSE(A3:A11)</f>
        <v xml:space="preserve">Maximilianstraße 20, 80539 München </v>
      </c>
      <c r="C2" t="str">
        <v>Gradestraße 91, 12347 Berlin</v>
      </c>
      <c r="D2" t="str">
        <v>Lademannbogen 130, 22339 Hamburg</v>
      </c>
      <c r="E2" t="str">
        <v>Lindberghstraße 13, 80939 München</v>
      </c>
      <c r="F2" t="str">
        <v>Berner Straße 77, 60437 Frankfurt am Main</v>
      </c>
      <c r="G2" t="str">
        <v>Dieselstraße 26, 70771 Leinfelden-Echterdingen</v>
      </c>
      <c r="H2" t="str">
        <v>Am Trippelsberg 41, 40589 Düsseldorf</v>
      </c>
      <c r="I2" t="str">
        <v>Mathias-Brüggen-Straße 132, 50829 Köln</v>
      </c>
      <c r="J2" t="str">
        <v>Klönnestraße 89, 44143 Dortmund</v>
      </c>
    </row>
    <row r="3" spans="1:11" x14ac:dyDescent="0.3">
      <c r="A3" s="19" t="s">
        <v>1455</v>
      </c>
      <c r="B3">
        <v>0</v>
      </c>
      <c r="C3">
        <v>586.79600000000005</v>
      </c>
      <c r="D3">
        <v>811.77300000000002</v>
      </c>
      <c r="E3">
        <v>9.4939999999999998</v>
      </c>
      <c r="F3">
        <v>404.70800000000003</v>
      </c>
      <c r="G3">
        <v>223.661</v>
      </c>
      <c r="H3">
        <v>602.53200000000004</v>
      </c>
      <c r="I3">
        <v>605.93200000000002</v>
      </c>
      <c r="J3">
        <v>604.27200000000005</v>
      </c>
    </row>
    <row r="4" spans="1:11" x14ac:dyDescent="0.3">
      <c r="A4" t="s">
        <v>1335</v>
      </c>
      <c r="B4">
        <v>586.97</v>
      </c>
      <c r="C4">
        <v>0</v>
      </c>
      <c r="D4">
        <v>300.36700000000002</v>
      </c>
      <c r="E4">
        <v>581.03700000000003</v>
      </c>
      <c r="F4">
        <v>536.91300000000001</v>
      </c>
      <c r="G4">
        <v>650.18799999999999</v>
      </c>
      <c r="H4">
        <v>557.41899999999998</v>
      </c>
      <c r="I4">
        <v>570.83100000000002</v>
      </c>
      <c r="J4">
        <v>495.62799999999999</v>
      </c>
    </row>
    <row r="5" spans="1:11" x14ac:dyDescent="0.3">
      <c r="A5" t="s">
        <v>1337</v>
      </c>
      <c r="B5">
        <v>812.03800000000001</v>
      </c>
      <c r="C5">
        <v>300.49900000000002</v>
      </c>
      <c r="D5">
        <v>0</v>
      </c>
      <c r="E5">
        <v>806.10500000000002</v>
      </c>
      <c r="F5">
        <v>502.63499999999999</v>
      </c>
      <c r="G5">
        <v>691.73400000000004</v>
      </c>
      <c r="H5">
        <v>416.83600000000001</v>
      </c>
      <c r="I5">
        <v>430.24799999999999</v>
      </c>
      <c r="J5">
        <v>355.04500000000002</v>
      </c>
    </row>
    <row r="6" spans="1:11" x14ac:dyDescent="0.3">
      <c r="A6" t="s">
        <v>1339</v>
      </c>
      <c r="B6">
        <v>8.57</v>
      </c>
      <c r="C6">
        <v>579.81700000000001</v>
      </c>
      <c r="D6">
        <v>804.79399999999998</v>
      </c>
      <c r="E6">
        <v>0</v>
      </c>
      <c r="F6">
        <v>397.72899999999998</v>
      </c>
      <c r="G6">
        <v>216.68199999999999</v>
      </c>
      <c r="H6">
        <v>595.553</v>
      </c>
      <c r="I6">
        <v>598.95299999999997</v>
      </c>
      <c r="J6">
        <v>597.29300000000001</v>
      </c>
    </row>
    <row r="7" spans="1:11" x14ac:dyDescent="0.3">
      <c r="A7" t="s">
        <v>1341</v>
      </c>
      <c r="B7">
        <v>405.51100000000002</v>
      </c>
      <c r="C7">
        <v>536.05399999999997</v>
      </c>
      <c r="D7">
        <v>500.71699999999998</v>
      </c>
      <c r="E7">
        <v>399.57799999999997</v>
      </c>
      <c r="F7">
        <v>0</v>
      </c>
      <c r="G7">
        <v>217.28800000000001</v>
      </c>
      <c r="H7">
        <v>221.363</v>
      </c>
      <c r="I7">
        <v>203.56899999999999</v>
      </c>
      <c r="J7">
        <v>207.37799999999999</v>
      </c>
    </row>
    <row r="8" spans="1:11" x14ac:dyDescent="0.3">
      <c r="A8" t="s">
        <v>1342</v>
      </c>
      <c r="B8">
        <v>223.20500000000001</v>
      </c>
      <c r="C8">
        <v>650.28399999999999</v>
      </c>
      <c r="D8">
        <v>692.06200000000001</v>
      </c>
      <c r="E8">
        <v>217.27199999999999</v>
      </c>
      <c r="F8">
        <v>217.53399999999999</v>
      </c>
      <c r="G8">
        <v>0</v>
      </c>
      <c r="H8">
        <v>398.173</v>
      </c>
      <c r="I8">
        <v>385.3</v>
      </c>
      <c r="J8">
        <v>420.21899999999999</v>
      </c>
    </row>
    <row r="9" spans="1:11" x14ac:dyDescent="0.3">
      <c r="A9" t="s">
        <v>1344</v>
      </c>
      <c r="B9">
        <v>602.47400000000005</v>
      </c>
      <c r="C9">
        <v>556.84400000000005</v>
      </c>
      <c r="D9">
        <v>416.56099999999998</v>
      </c>
      <c r="E9">
        <v>596.54100000000005</v>
      </c>
      <c r="F9">
        <v>222.34299999999999</v>
      </c>
      <c r="G9">
        <v>397.77600000000001</v>
      </c>
      <c r="H9">
        <v>0</v>
      </c>
      <c r="I9">
        <v>30.082000000000001</v>
      </c>
      <c r="J9">
        <v>74.789000000000001</v>
      </c>
    </row>
    <row r="10" spans="1:11" x14ac:dyDescent="0.3">
      <c r="A10" t="s">
        <v>1345</v>
      </c>
      <c r="B10">
        <v>584.55899999999997</v>
      </c>
      <c r="C10">
        <v>570.38900000000001</v>
      </c>
      <c r="D10">
        <v>430.10599999999999</v>
      </c>
      <c r="E10">
        <v>578.62599999999998</v>
      </c>
      <c r="F10">
        <v>204.428</v>
      </c>
      <c r="G10">
        <v>379.86099999999999</v>
      </c>
      <c r="H10">
        <v>34.290999999999997</v>
      </c>
      <c r="I10">
        <v>0</v>
      </c>
      <c r="J10">
        <v>88.817999999999998</v>
      </c>
    </row>
    <row r="11" spans="1:11" ht="15" thickBot="1" x14ac:dyDescent="0.35">
      <c r="A11" s="26" t="s">
        <v>1346</v>
      </c>
      <c r="B11">
        <v>605.91200000000003</v>
      </c>
      <c r="C11">
        <v>496.245</v>
      </c>
      <c r="D11">
        <v>355.96199999999999</v>
      </c>
      <c r="E11">
        <v>599.97900000000004</v>
      </c>
      <c r="F11">
        <v>209.98599999999999</v>
      </c>
      <c r="G11">
        <v>421.28699999999998</v>
      </c>
      <c r="H11">
        <v>75.311999999999998</v>
      </c>
      <c r="I11">
        <v>89.132000000000005</v>
      </c>
      <c r="J11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BBA41-F588-4716-85D6-2303A6CA9331}">
  <sheetPr codeName="Feuil48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1455</v>
      </c>
      <c r="B2" s="24" t="s">
        <v>204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116A0-012C-4664-947F-12127D681E18}">
  <sheetPr codeName="Feuil49"/>
  <dimension ref="A1:K11"/>
  <sheetViews>
    <sheetView workbookViewId="0">
      <selection activeCell="A3" sqref="A3"/>
    </sheetView>
  </sheetViews>
  <sheetFormatPr baseColWidth="10" defaultRowHeight="14.4" x14ac:dyDescent="0.3"/>
  <sheetData>
    <row r="1" spans="1:11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</row>
    <row r="2" spans="1:11" x14ac:dyDescent="0.3">
      <c r="A2" t="s">
        <v>23</v>
      </c>
      <c r="B2" t="str" cm="1">
        <f t="array" ref="B2:J2">TRANSPOSE(A3:A11)</f>
        <v xml:space="preserve">Königsallee, Steinstraße 1-3, 40212 Düsseldorf </v>
      </c>
      <c r="C2" t="str">
        <v>Gradestraße 91, 12347 Berlin</v>
      </c>
      <c r="D2" t="str">
        <v>Lademannbogen 130, 22339 Hamburg</v>
      </c>
      <c r="E2" t="str">
        <v>Lindberghstraße 13, 80939 München</v>
      </c>
      <c r="F2" t="str">
        <v>Berner Straße 77, 60437 Frankfurt am Main</v>
      </c>
      <c r="G2" t="str">
        <v>Dieselstraße 26, 70771 Leinfelden-Echterdingen</v>
      </c>
      <c r="H2" t="str">
        <v>Am Trippelsberg 41, 40589 Düsseldorf</v>
      </c>
      <c r="I2" t="str">
        <v>Mathias-Brüggen-Straße 132, 50829 Köln</v>
      </c>
      <c r="J2" t="str">
        <v>Klönnestraße 89, 44143 Dortmund</v>
      </c>
    </row>
    <row r="3" spans="1:11" x14ac:dyDescent="0.3">
      <c r="A3" s="19" t="s">
        <v>1452</v>
      </c>
      <c r="B3">
        <v>0</v>
      </c>
      <c r="C3">
        <v>559.47</v>
      </c>
      <c r="D3">
        <v>412.84199999999998</v>
      </c>
      <c r="E3">
        <v>604.70799999999997</v>
      </c>
      <c r="F3">
        <v>230.51</v>
      </c>
      <c r="G3">
        <v>405.94299999999998</v>
      </c>
      <c r="H3">
        <v>10.475</v>
      </c>
      <c r="I3">
        <v>31.943999999999999</v>
      </c>
      <c r="J3">
        <v>69.135000000000005</v>
      </c>
    </row>
    <row r="4" spans="1:11" x14ac:dyDescent="0.3">
      <c r="A4" t="s">
        <v>1335</v>
      </c>
      <c r="B4">
        <v>559.73900000000003</v>
      </c>
      <c r="C4">
        <v>0</v>
      </c>
      <c r="D4">
        <v>300.36700000000002</v>
      </c>
      <c r="E4">
        <v>581.03700000000003</v>
      </c>
      <c r="F4">
        <v>536.91300000000001</v>
      </c>
      <c r="G4">
        <v>650.18799999999999</v>
      </c>
      <c r="H4">
        <v>557.41899999999998</v>
      </c>
      <c r="I4">
        <v>570.83100000000002</v>
      </c>
      <c r="J4">
        <v>495.62799999999999</v>
      </c>
    </row>
    <row r="5" spans="1:11" x14ac:dyDescent="0.3">
      <c r="A5" t="s">
        <v>1337</v>
      </c>
      <c r="B5">
        <v>412.25799999999998</v>
      </c>
      <c r="C5">
        <v>300.49900000000002</v>
      </c>
      <c r="D5">
        <v>0</v>
      </c>
      <c r="E5">
        <v>806.10500000000002</v>
      </c>
      <c r="F5">
        <v>502.63499999999999</v>
      </c>
      <c r="G5">
        <v>691.73400000000004</v>
      </c>
      <c r="H5">
        <v>416.83600000000001</v>
      </c>
      <c r="I5">
        <v>430.24799999999999</v>
      </c>
      <c r="J5">
        <v>355.04500000000002</v>
      </c>
    </row>
    <row r="6" spans="1:11" x14ac:dyDescent="0.3">
      <c r="A6" t="s">
        <v>1339</v>
      </c>
      <c r="B6">
        <v>604.12699999999995</v>
      </c>
      <c r="C6">
        <v>579.81700000000001</v>
      </c>
      <c r="D6">
        <v>804.79399999999998</v>
      </c>
      <c r="E6">
        <v>0</v>
      </c>
      <c r="F6">
        <v>397.72899999999998</v>
      </c>
      <c r="G6">
        <v>216.68199999999999</v>
      </c>
      <c r="H6">
        <v>595.553</v>
      </c>
      <c r="I6">
        <v>598.95299999999997</v>
      </c>
      <c r="J6">
        <v>597.29300000000001</v>
      </c>
    </row>
    <row r="7" spans="1:11" x14ac:dyDescent="0.3">
      <c r="A7" t="s">
        <v>1341</v>
      </c>
      <c r="B7">
        <v>229.93700000000001</v>
      </c>
      <c r="C7">
        <v>536.05399999999997</v>
      </c>
      <c r="D7">
        <v>500.71699999999998</v>
      </c>
      <c r="E7">
        <v>399.57799999999997</v>
      </c>
      <c r="F7">
        <v>0</v>
      </c>
      <c r="G7">
        <v>217.28800000000001</v>
      </c>
      <c r="H7">
        <v>221.363</v>
      </c>
      <c r="I7">
        <v>203.56899999999999</v>
      </c>
      <c r="J7">
        <v>207.37799999999999</v>
      </c>
    </row>
    <row r="8" spans="1:11" x14ac:dyDescent="0.3">
      <c r="A8" t="s">
        <v>1342</v>
      </c>
      <c r="B8">
        <v>406.74700000000001</v>
      </c>
      <c r="C8">
        <v>650.28399999999999</v>
      </c>
      <c r="D8">
        <v>692.06200000000001</v>
      </c>
      <c r="E8">
        <v>217.27199999999999</v>
      </c>
      <c r="F8">
        <v>217.53399999999999</v>
      </c>
      <c r="G8">
        <v>0</v>
      </c>
      <c r="H8">
        <v>398.173</v>
      </c>
      <c r="I8">
        <v>385.3</v>
      </c>
      <c r="J8">
        <v>420.21899999999999</v>
      </c>
    </row>
    <row r="9" spans="1:11" x14ac:dyDescent="0.3">
      <c r="A9" t="s">
        <v>1344</v>
      </c>
      <c r="B9">
        <v>10.039999999999999</v>
      </c>
      <c r="C9">
        <v>556.84400000000005</v>
      </c>
      <c r="D9">
        <v>416.56099999999998</v>
      </c>
      <c r="E9">
        <v>596.54100000000005</v>
      </c>
      <c r="F9">
        <v>222.34299999999999</v>
      </c>
      <c r="G9">
        <v>397.77600000000001</v>
      </c>
      <c r="H9">
        <v>0</v>
      </c>
      <c r="I9">
        <v>30.082000000000001</v>
      </c>
      <c r="J9">
        <v>74.789000000000001</v>
      </c>
    </row>
    <row r="10" spans="1:11" x14ac:dyDescent="0.3">
      <c r="A10" t="s">
        <v>1345</v>
      </c>
      <c r="B10">
        <v>32.033000000000001</v>
      </c>
      <c r="C10">
        <v>570.38900000000001</v>
      </c>
      <c r="D10">
        <v>430.10599999999999</v>
      </c>
      <c r="E10">
        <v>578.62599999999998</v>
      </c>
      <c r="F10">
        <v>204.428</v>
      </c>
      <c r="G10">
        <v>379.86099999999999</v>
      </c>
      <c r="H10">
        <v>34.290999999999997</v>
      </c>
      <c r="I10">
        <v>0</v>
      </c>
      <c r="J10">
        <v>88.817999999999998</v>
      </c>
    </row>
    <row r="11" spans="1:11" ht="15" thickBot="1" x14ac:dyDescent="0.35">
      <c r="A11" s="26" t="s">
        <v>1346</v>
      </c>
      <c r="B11">
        <v>68.626999999999995</v>
      </c>
      <c r="C11">
        <v>496.245</v>
      </c>
      <c r="D11">
        <v>355.96199999999999</v>
      </c>
      <c r="E11">
        <v>599.97900000000004</v>
      </c>
      <c r="F11">
        <v>209.98599999999999</v>
      </c>
      <c r="G11">
        <v>421.28699999999998</v>
      </c>
      <c r="H11">
        <v>75.311999999999998</v>
      </c>
      <c r="I11">
        <v>89.132000000000005</v>
      </c>
      <c r="J11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DDF35-8D3B-47BA-B89B-84B60C1F12A0}">
  <sheetPr codeName="Feuil50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1452</v>
      </c>
      <c r="B2" t="s">
        <v>206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3F61C-807F-4645-9967-B50446967C7C}">
  <sheetPr codeName="Feuil51"/>
  <dimension ref="A1:K11"/>
  <sheetViews>
    <sheetView workbookViewId="0">
      <selection activeCell="A3" sqref="A3"/>
    </sheetView>
  </sheetViews>
  <sheetFormatPr baseColWidth="10" defaultRowHeight="14.4" x14ac:dyDescent="0.3"/>
  <sheetData>
    <row r="1" spans="1:11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</row>
    <row r="2" spans="1:11" x14ac:dyDescent="0.3">
      <c r="A2" t="s">
        <v>23</v>
      </c>
      <c r="B2" t="str" cm="1">
        <f t="array" ref="B2:J2">TRANSPOSE(A3:A11)</f>
        <v xml:space="preserve">Neuer Wall 22, 20354 Hamburg </v>
      </c>
      <c r="C2" t="str">
        <v>Gradestraße 91, 12347 Berlin</v>
      </c>
      <c r="D2" t="str">
        <v>Lademannbogen 130, 22339 Hamburg</v>
      </c>
      <c r="E2" t="str">
        <v>Lindberghstraße 13, 80939 München</v>
      </c>
      <c r="F2" t="str">
        <v>Berner Straße 77, 60437 Frankfurt am Main</v>
      </c>
      <c r="G2" t="str">
        <v>Dieselstraße 26, 70771 Leinfelden-Echterdingen</v>
      </c>
      <c r="H2" t="str">
        <v>Am Trippelsberg 41, 40589 Düsseldorf</v>
      </c>
      <c r="I2" t="str">
        <v>Mathias-Brüggen-Straße 132, 50829 Köln</v>
      </c>
      <c r="J2" t="str">
        <v>Klönnestraße 89, 44143 Dortmund</v>
      </c>
    </row>
    <row r="3" spans="1:11" x14ac:dyDescent="0.3">
      <c r="A3" s="19" t="s">
        <v>1454</v>
      </c>
      <c r="B3">
        <v>0</v>
      </c>
      <c r="C3">
        <v>294.048</v>
      </c>
      <c r="D3">
        <v>14.579000000000001</v>
      </c>
      <c r="E3">
        <v>785.57</v>
      </c>
      <c r="F3">
        <v>482.1</v>
      </c>
      <c r="G3">
        <v>671.19899999999996</v>
      </c>
      <c r="H3">
        <v>414.76600000000002</v>
      </c>
      <c r="I3">
        <v>428.178</v>
      </c>
      <c r="J3">
        <v>352.97500000000002</v>
      </c>
    </row>
    <row r="4" spans="1:11" x14ac:dyDescent="0.3">
      <c r="A4" t="s">
        <v>1335</v>
      </c>
      <c r="B4">
        <v>295.31900000000002</v>
      </c>
      <c r="C4">
        <v>0</v>
      </c>
      <c r="D4">
        <v>300.36700000000002</v>
      </c>
      <c r="E4">
        <v>581.03700000000003</v>
      </c>
      <c r="F4">
        <v>536.91300000000001</v>
      </c>
      <c r="G4">
        <v>650.18799999999999</v>
      </c>
      <c r="H4">
        <v>557.41899999999998</v>
      </c>
      <c r="I4">
        <v>570.83100000000002</v>
      </c>
      <c r="J4">
        <v>495.62799999999999</v>
      </c>
    </row>
    <row r="5" spans="1:11" x14ac:dyDescent="0.3">
      <c r="A5" t="s">
        <v>1337</v>
      </c>
      <c r="B5">
        <v>14.362</v>
      </c>
      <c r="C5">
        <v>300.49900000000002</v>
      </c>
      <c r="D5">
        <v>0</v>
      </c>
      <c r="E5">
        <v>806.10500000000002</v>
      </c>
      <c r="F5">
        <v>502.63499999999999</v>
      </c>
      <c r="G5">
        <v>691.73400000000004</v>
      </c>
      <c r="H5">
        <v>416.83600000000001</v>
      </c>
      <c r="I5">
        <v>430.24799999999999</v>
      </c>
      <c r="J5">
        <v>355.04500000000002</v>
      </c>
    </row>
    <row r="6" spans="1:11" x14ac:dyDescent="0.3">
      <c r="A6" t="s">
        <v>1339</v>
      </c>
      <c r="B6">
        <v>784.64200000000005</v>
      </c>
      <c r="C6">
        <v>579.81700000000001</v>
      </c>
      <c r="D6">
        <v>804.79399999999998</v>
      </c>
      <c r="E6">
        <v>0</v>
      </c>
      <c r="F6">
        <v>397.72899999999998</v>
      </c>
      <c r="G6">
        <v>216.68199999999999</v>
      </c>
      <c r="H6">
        <v>595.553</v>
      </c>
      <c r="I6">
        <v>598.95299999999997</v>
      </c>
      <c r="J6">
        <v>597.29300000000001</v>
      </c>
    </row>
    <row r="7" spans="1:11" x14ac:dyDescent="0.3">
      <c r="A7" t="s">
        <v>1341</v>
      </c>
      <c r="B7">
        <v>480.565</v>
      </c>
      <c r="C7">
        <v>536.05399999999997</v>
      </c>
      <c r="D7">
        <v>500.71699999999998</v>
      </c>
      <c r="E7">
        <v>399.57799999999997</v>
      </c>
      <c r="F7">
        <v>0</v>
      </c>
      <c r="G7">
        <v>217.28800000000001</v>
      </c>
      <c r="H7">
        <v>221.363</v>
      </c>
      <c r="I7">
        <v>203.56899999999999</v>
      </c>
      <c r="J7">
        <v>207.37799999999999</v>
      </c>
    </row>
    <row r="8" spans="1:11" x14ac:dyDescent="0.3">
      <c r="A8" t="s">
        <v>1342</v>
      </c>
      <c r="B8">
        <v>671.91</v>
      </c>
      <c r="C8">
        <v>650.28399999999999</v>
      </c>
      <c r="D8">
        <v>692.06200000000001</v>
      </c>
      <c r="E8">
        <v>217.27199999999999</v>
      </c>
      <c r="F8">
        <v>217.53399999999999</v>
      </c>
      <c r="G8">
        <v>0</v>
      </c>
      <c r="H8">
        <v>398.173</v>
      </c>
      <c r="I8">
        <v>385.3</v>
      </c>
      <c r="J8">
        <v>420.21899999999999</v>
      </c>
    </row>
    <row r="9" spans="1:11" x14ac:dyDescent="0.3">
      <c r="A9" t="s">
        <v>1344</v>
      </c>
      <c r="B9">
        <v>407.358</v>
      </c>
      <c r="C9">
        <v>556.84400000000005</v>
      </c>
      <c r="D9">
        <v>416.56099999999998</v>
      </c>
      <c r="E9">
        <v>596.54100000000005</v>
      </c>
      <c r="F9">
        <v>222.34299999999999</v>
      </c>
      <c r="G9">
        <v>397.77600000000001</v>
      </c>
      <c r="H9">
        <v>0</v>
      </c>
      <c r="I9">
        <v>30.082000000000001</v>
      </c>
      <c r="J9">
        <v>74.789000000000001</v>
      </c>
    </row>
    <row r="10" spans="1:11" x14ac:dyDescent="0.3">
      <c r="A10" t="s">
        <v>1345</v>
      </c>
      <c r="B10">
        <v>420.90300000000002</v>
      </c>
      <c r="C10">
        <v>570.38900000000001</v>
      </c>
      <c r="D10">
        <v>430.10599999999999</v>
      </c>
      <c r="E10">
        <v>578.62599999999998</v>
      </c>
      <c r="F10">
        <v>204.428</v>
      </c>
      <c r="G10">
        <v>379.86099999999999</v>
      </c>
      <c r="H10">
        <v>34.290999999999997</v>
      </c>
      <c r="I10">
        <v>0</v>
      </c>
      <c r="J10">
        <v>88.817999999999998</v>
      </c>
    </row>
    <row r="11" spans="1:11" ht="15" thickBot="1" x14ac:dyDescent="0.35">
      <c r="A11" s="26" t="s">
        <v>1346</v>
      </c>
      <c r="B11">
        <v>346.75900000000001</v>
      </c>
      <c r="C11">
        <v>496.245</v>
      </c>
      <c r="D11">
        <v>355.96199999999999</v>
      </c>
      <c r="E11">
        <v>599.97900000000004</v>
      </c>
      <c r="F11">
        <v>209.98599999999999</v>
      </c>
      <c r="G11">
        <v>421.28699999999998</v>
      </c>
      <c r="H11">
        <v>75.311999999999998</v>
      </c>
      <c r="I11">
        <v>89.132000000000005</v>
      </c>
      <c r="J11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D1E29-C73D-4A98-BEC6-7A8E51C0D2AE}">
  <sheetPr codeName="Feuil52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1454</v>
      </c>
      <c r="B2" t="s">
        <v>208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9658-7BBD-4302-B7BE-A54F0301E6CF}">
  <sheetPr codeName="Feuil53"/>
  <dimension ref="A1:L12"/>
  <sheetViews>
    <sheetView workbookViewId="0">
      <selection activeCell="A3" sqref="A3:A4"/>
    </sheetView>
  </sheetViews>
  <sheetFormatPr baseColWidth="10" defaultRowHeight="14.4" x14ac:dyDescent="0.3"/>
  <sheetData>
    <row r="1" spans="1:12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</row>
    <row r="2" spans="1:12" x14ac:dyDescent="0.3">
      <c r="A2" t="s">
        <v>23</v>
      </c>
      <c r="B2" t="str" cm="1">
        <f t="array" ref="B2:K2">TRANSPOSE(A3:A12)</f>
        <v>Francfort Aéroport</v>
      </c>
      <c r="C2" t="str">
        <v xml:space="preserve">Goethestraße 11, 60313 Frankfurt </v>
      </c>
      <c r="D2" t="str">
        <v>Gradestraße 91, 12347 Berlin</v>
      </c>
      <c r="E2" t="str">
        <v>Lademannbogen 130, 22339 Hamburg</v>
      </c>
      <c r="F2" t="str">
        <v>Lindberghstraße 13, 80939 München</v>
      </c>
      <c r="G2" t="str">
        <v>Berner Straße 77, 60437 Frankfurt am Main</v>
      </c>
      <c r="H2" t="str">
        <v>Dieselstraße 26, 70771 Leinfelden-Echterdingen</v>
      </c>
      <c r="I2" t="str">
        <v>Am Trippelsberg 41, 40589 Düsseldorf</v>
      </c>
      <c r="J2" t="str">
        <v>Mathias-Brüggen-Straße 132, 50829 Köln</v>
      </c>
      <c r="K2" t="str">
        <v>Klönnestraße 89, 44143 Dortmund</v>
      </c>
    </row>
    <row r="3" spans="1:12" x14ac:dyDescent="0.3">
      <c r="A3" s="19" t="s">
        <v>209</v>
      </c>
      <c r="B3">
        <v>0</v>
      </c>
      <c r="C3">
        <v>18.103999999999999</v>
      </c>
      <c r="D3">
        <v>557.45600000000002</v>
      </c>
      <c r="E3">
        <v>522.11900000000003</v>
      </c>
      <c r="F3">
        <v>390.935</v>
      </c>
      <c r="G3">
        <v>26.094999999999999</v>
      </c>
      <c r="H3">
        <v>199.37799999999999</v>
      </c>
      <c r="I3">
        <v>206.58199999999999</v>
      </c>
      <c r="J3">
        <v>188.78800000000001</v>
      </c>
      <c r="K3">
        <v>228.78</v>
      </c>
    </row>
    <row r="4" spans="1:12" x14ac:dyDescent="0.3">
      <c r="A4" s="19" t="s">
        <v>1453</v>
      </c>
      <c r="B4">
        <v>14.243</v>
      </c>
      <c r="C4">
        <v>0</v>
      </c>
      <c r="D4">
        <v>551.17600000000004</v>
      </c>
      <c r="E4">
        <v>515.83900000000006</v>
      </c>
      <c r="F4">
        <v>387.077</v>
      </c>
      <c r="G4">
        <v>13.944000000000001</v>
      </c>
      <c r="H4">
        <v>206.77799999999999</v>
      </c>
      <c r="I4">
        <v>217.75</v>
      </c>
      <c r="J4">
        <v>199.95599999999999</v>
      </c>
      <c r="K4">
        <v>222.5</v>
      </c>
    </row>
    <row r="5" spans="1:12" x14ac:dyDescent="0.3">
      <c r="A5" t="s">
        <v>1335</v>
      </c>
      <c r="B5">
        <v>555.14800000000002</v>
      </c>
      <c r="C5">
        <v>550.66999999999996</v>
      </c>
      <c r="D5">
        <v>0</v>
      </c>
      <c r="E5">
        <v>300.36700000000002</v>
      </c>
      <c r="F5">
        <v>581.03700000000003</v>
      </c>
      <c r="G5">
        <v>536.91300000000001</v>
      </c>
      <c r="H5">
        <v>650.18799999999999</v>
      </c>
      <c r="I5">
        <v>557.41899999999998</v>
      </c>
      <c r="J5">
        <v>570.83100000000002</v>
      </c>
      <c r="K5">
        <v>495.62799999999999</v>
      </c>
    </row>
    <row r="6" spans="1:12" x14ac:dyDescent="0.3">
      <c r="A6" t="s">
        <v>1337</v>
      </c>
      <c r="B6">
        <v>520.87</v>
      </c>
      <c r="C6">
        <v>516.39200000000005</v>
      </c>
      <c r="D6">
        <v>300.49900000000002</v>
      </c>
      <c r="E6">
        <v>0</v>
      </c>
      <c r="F6">
        <v>806.10500000000002</v>
      </c>
      <c r="G6">
        <v>502.63499999999999</v>
      </c>
      <c r="H6">
        <v>691.73400000000004</v>
      </c>
      <c r="I6">
        <v>416.83600000000001</v>
      </c>
      <c r="J6">
        <v>430.24799999999999</v>
      </c>
      <c r="K6">
        <v>355.04500000000002</v>
      </c>
    </row>
    <row r="7" spans="1:12" x14ac:dyDescent="0.3">
      <c r="A7" t="s">
        <v>1339</v>
      </c>
      <c r="B7">
        <v>390.58800000000002</v>
      </c>
      <c r="C7">
        <v>385.69299999999998</v>
      </c>
      <c r="D7">
        <v>579.81700000000001</v>
      </c>
      <c r="E7">
        <v>804.79399999999998</v>
      </c>
      <c r="F7">
        <v>0</v>
      </c>
      <c r="G7">
        <v>397.72899999999998</v>
      </c>
      <c r="H7">
        <v>216.68199999999999</v>
      </c>
      <c r="I7">
        <v>595.553</v>
      </c>
      <c r="J7">
        <v>598.95299999999997</v>
      </c>
      <c r="K7">
        <v>597.29300000000001</v>
      </c>
    </row>
    <row r="8" spans="1:12" x14ac:dyDescent="0.3">
      <c r="A8" t="s">
        <v>1341</v>
      </c>
      <c r="B8">
        <v>24.222000000000001</v>
      </c>
      <c r="C8">
        <v>19.744</v>
      </c>
      <c r="D8">
        <v>536.05399999999997</v>
      </c>
      <c r="E8">
        <v>500.71699999999998</v>
      </c>
      <c r="F8">
        <v>399.57799999999997</v>
      </c>
      <c r="G8">
        <v>0</v>
      </c>
      <c r="H8">
        <v>217.28800000000001</v>
      </c>
      <c r="I8">
        <v>221.363</v>
      </c>
      <c r="J8">
        <v>203.56899999999999</v>
      </c>
      <c r="K8">
        <v>207.37799999999999</v>
      </c>
    </row>
    <row r="9" spans="1:12" x14ac:dyDescent="0.3">
      <c r="A9" t="s">
        <v>1342</v>
      </c>
      <c r="B9">
        <v>203.63200000000001</v>
      </c>
      <c r="C9">
        <v>209.54300000000001</v>
      </c>
      <c r="D9">
        <v>650.28399999999999</v>
      </c>
      <c r="E9">
        <v>692.06200000000001</v>
      </c>
      <c r="F9">
        <v>217.27199999999999</v>
      </c>
      <c r="G9">
        <v>217.53399999999999</v>
      </c>
      <c r="H9">
        <v>0</v>
      </c>
      <c r="I9">
        <v>398.173</v>
      </c>
      <c r="J9">
        <v>385.3</v>
      </c>
      <c r="K9">
        <v>420.21899999999999</v>
      </c>
    </row>
    <row r="10" spans="1:12" x14ac:dyDescent="0.3">
      <c r="A10" t="s">
        <v>1344</v>
      </c>
      <c r="B10">
        <v>206.00899999999999</v>
      </c>
      <c r="C10">
        <v>217.749</v>
      </c>
      <c r="D10">
        <v>556.84400000000005</v>
      </c>
      <c r="E10">
        <v>416.56099999999998</v>
      </c>
      <c r="F10">
        <v>596.54100000000005</v>
      </c>
      <c r="G10">
        <v>222.34299999999999</v>
      </c>
      <c r="H10">
        <v>397.77600000000001</v>
      </c>
      <c r="I10">
        <v>0</v>
      </c>
      <c r="J10">
        <v>30.082000000000001</v>
      </c>
      <c r="K10">
        <v>74.789000000000001</v>
      </c>
    </row>
    <row r="11" spans="1:12" x14ac:dyDescent="0.3">
      <c r="A11" t="s">
        <v>1345</v>
      </c>
      <c r="B11">
        <v>188.09399999999999</v>
      </c>
      <c r="C11">
        <v>199.834</v>
      </c>
      <c r="D11">
        <v>570.38900000000001</v>
      </c>
      <c r="E11">
        <v>430.10599999999999</v>
      </c>
      <c r="F11">
        <v>578.62599999999998</v>
      </c>
      <c r="G11">
        <v>204.428</v>
      </c>
      <c r="H11">
        <v>379.86099999999999</v>
      </c>
      <c r="I11">
        <v>34.290999999999997</v>
      </c>
      <c r="J11">
        <v>0</v>
      </c>
      <c r="K11">
        <v>88.817999999999998</v>
      </c>
    </row>
    <row r="12" spans="1:12" ht="15" thickBot="1" x14ac:dyDescent="0.35">
      <c r="A12" s="26" t="s">
        <v>1346</v>
      </c>
      <c r="B12">
        <v>228.221</v>
      </c>
      <c r="C12">
        <v>223.74299999999999</v>
      </c>
      <c r="D12">
        <v>496.245</v>
      </c>
      <c r="E12">
        <v>355.96199999999999</v>
      </c>
      <c r="F12">
        <v>599.97900000000004</v>
      </c>
      <c r="G12">
        <v>209.98599999999999</v>
      </c>
      <c r="H12">
        <v>421.28699999999998</v>
      </c>
      <c r="I12">
        <v>75.311999999999998</v>
      </c>
      <c r="J12">
        <v>89.132000000000005</v>
      </c>
      <c r="K12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A7378-C809-4A51-8D33-57C680697D8B}">
  <sheetPr codeName="Feuil54"/>
  <dimension ref="A1:B3"/>
  <sheetViews>
    <sheetView workbookViewId="0">
      <selection activeCell="A2" sqref="A2:A3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209</v>
      </c>
      <c r="B2" t="s">
        <v>219</v>
      </c>
    </row>
    <row r="3" spans="1:2" x14ac:dyDescent="0.3">
      <c r="A3" s="19" t="s">
        <v>1453</v>
      </c>
      <c r="B3" t="s">
        <v>220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C5ED2-13C9-4704-A8C1-5BC0BFB1025C}">
  <sheetPr codeName="Feuil55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A2" t="s">
        <v>23</v>
      </c>
      <c r="B2" t="str" cm="1">
        <f t="array" ref="B2:H2">TRANSPOSE(A3:A9)</f>
        <v xml:space="preserve">Via Montenapoleone 16/A, 20121 Milano MI </v>
      </c>
      <c r="C2" t="str">
        <v>Via San Gregorio 55, 20124 Milan, Italy</v>
      </c>
      <c r="D2" t="str">
        <v>Via Giuseppe Meda, 35, 00157 Rome, Italy</v>
      </c>
      <c r="E2" t="str">
        <v>Corso Ferrucci, 112, 10138 Turin, Italy</v>
      </c>
      <c r="F2" t="str">
        <v>Via Chiatamone, 60, 80121 Naples, Italy</v>
      </c>
      <c r="G2" t="str">
        <v>Via Francesco Baracca 9/11, 50127 Florence, Italy</v>
      </c>
      <c r="H2" t="str">
        <v>Via delle Industrie 19, 30175 Marghera, Venice, Italy</v>
      </c>
    </row>
    <row r="3" spans="1:9" x14ac:dyDescent="0.3">
      <c r="A3" s="19" t="s">
        <v>1434</v>
      </c>
      <c r="B3">
        <v>0</v>
      </c>
      <c r="C3">
        <v>2.2610000000000001</v>
      </c>
      <c r="D3">
        <v>579.48299999999995</v>
      </c>
      <c r="E3">
        <v>144.614</v>
      </c>
      <c r="F3">
        <v>776.14099999999996</v>
      </c>
      <c r="G3">
        <v>297.11</v>
      </c>
      <c r="H3">
        <v>262.19099999999997</v>
      </c>
    </row>
    <row r="4" spans="1:9" x14ac:dyDescent="0.3">
      <c r="A4" t="s">
        <v>1347</v>
      </c>
      <c r="B4">
        <v>2.6789999999999998</v>
      </c>
      <c r="C4">
        <v>0</v>
      </c>
      <c r="D4">
        <v>578.06100000000004</v>
      </c>
      <c r="E4">
        <v>143.749</v>
      </c>
      <c r="F4">
        <v>774.71900000000005</v>
      </c>
      <c r="G4">
        <v>295.68799999999999</v>
      </c>
      <c r="H4">
        <v>262.77199999999999</v>
      </c>
    </row>
    <row r="5" spans="1:9" x14ac:dyDescent="0.3">
      <c r="A5" t="s">
        <v>1350</v>
      </c>
      <c r="B5">
        <v>573.26</v>
      </c>
      <c r="C5">
        <v>574.06100000000004</v>
      </c>
      <c r="D5">
        <v>0</v>
      </c>
      <c r="E5">
        <v>670.43200000000002</v>
      </c>
      <c r="F5">
        <v>224.42400000000001</v>
      </c>
      <c r="G5">
        <v>287.97300000000001</v>
      </c>
      <c r="H5">
        <v>520.88800000000003</v>
      </c>
    </row>
    <row r="6" spans="1:9" x14ac:dyDescent="0.3">
      <c r="A6" t="s">
        <v>1351</v>
      </c>
      <c r="B6">
        <v>146.65199999999999</v>
      </c>
      <c r="C6">
        <v>145.87899999999999</v>
      </c>
      <c r="D6">
        <v>674.76400000000001</v>
      </c>
      <c r="E6">
        <v>0</v>
      </c>
      <c r="F6">
        <v>871.42200000000003</v>
      </c>
      <c r="G6">
        <v>392.24099999999999</v>
      </c>
      <c r="H6">
        <v>400.89</v>
      </c>
    </row>
    <row r="7" spans="1:9" x14ac:dyDescent="0.3">
      <c r="A7" t="s">
        <v>1352</v>
      </c>
      <c r="B7">
        <v>774.53599999999994</v>
      </c>
      <c r="C7">
        <v>775.33699999999999</v>
      </c>
      <c r="D7">
        <v>224.04300000000001</v>
      </c>
      <c r="E7">
        <v>871.70799999999997</v>
      </c>
      <c r="F7">
        <v>0</v>
      </c>
      <c r="G7">
        <v>489.24900000000002</v>
      </c>
      <c r="H7">
        <v>722.16399999999999</v>
      </c>
    </row>
    <row r="8" spans="1:9" x14ac:dyDescent="0.3">
      <c r="A8" t="s">
        <v>1354</v>
      </c>
      <c r="B8">
        <v>297.577</v>
      </c>
      <c r="C8">
        <v>298.37799999999999</v>
      </c>
      <c r="D8">
        <v>292.50099999999998</v>
      </c>
      <c r="E8">
        <v>393.28399999999999</v>
      </c>
      <c r="F8">
        <v>489.15899999999999</v>
      </c>
      <c r="G8">
        <v>0</v>
      </c>
      <c r="H8">
        <v>245.20500000000001</v>
      </c>
    </row>
    <row r="9" spans="1:9" ht="15" thickBot="1" x14ac:dyDescent="0.35">
      <c r="A9" s="26" t="s">
        <v>1356</v>
      </c>
      <c r="B9">
        <v>260.13799999999998</v>
      </c>
      <c r="C9">
        <v>260.93900000000002</v>
      </c>
      <c r="D9">
        <v>526.12699999999995</v>
      </c>
      <c r="E9">
        <v>398.35199999999998</v>
      </c>
      <c r="F9">
        <v>722.78499999999997</v>
      </c>
      <c r="G9">
        <v>243.75399999999999</v>
      </c>
      <c r="H9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1593-8B5F-429A-913C-333888719B40}">
  <sheetPr codeName="Feuil56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1434</v>
      </c>
      <c r="B2" t="s">
        <v>222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2CBA4-2D36-4681-B727-54D419AC6C9E}">
  <sheetPr codeName="Feuil57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A2" t="s">
        <v>23</v>
      </c>
      <c r="B2" t="str" cm="1">
        <f t="array" ref="B2:H2">TRANSPOSE(A3:A9)</f>
        <v xml:space="preserve">Via degli Strozzi 36/r, 50123 Firenze FI </v>
      </c>
      <c r="C2" t="str">
        <v>Via San Gregorio 55, 20124 Milan, Italy</v>
      </c>
      <c r="D2" t="str">
        <v>Via Giuseppe Meda, 35, 00157 Rome, Italy</v>
      </c>
      <c r="E2" t="str">
        <v>Corso Ferrucci, 112, 10138 Turin, Italy</v>
      </c>
      <c r="F2" t="str">
        <v>Via Chiatamone, 60, 80121 Naples, Italy</v>
      </c>
      <c r="G2" t="str">
        <v>Via Francesco Baracca 9/11, 50127 Florence, Italy</v>
      </c>
      <c r="H2" t="str">
        <v>Via delle Industrie 19, 30175 Marghera, Venice, Italy</v>
      </c>
    </row>
    <row r="3" spans="1:9" x14ac:dyDescent="0.3">
      <c r="A3" s="19" t="s">
        <v>1433</v>
      </c>
      <c r="B3">
        <v>0</v>
      </c>
      <c r="C3">
        <v>303.80099999999999</v>
      </c>
      <c r="D3">
        <v>281.745</v>
      </c>
      <c r="E3">
        <v>396.60599999999999</v>
      </c>
      <c r="F3">
        <v>478.40300000000002</v>
      </c>
      <c r="G3">
        <v>3.6949999999999998</v>
      </c>
      <c r="H3">
        <v>250.62799999999999</v>
      </c>
    </row>
    <row r="4" spans="1:9" x14ac:dyDescent="0.3">
      <c r="A4" t="s">
        <v>1347</v>
      </c>
      <c r="B4">
        <v>303.15800000000002</v>
      </c>
      <c r="C4">
        <v>0</v>
      </c>
      <c r="D4">
        <v>578.06100000000004</v>
      </c>
      <c r="E4">
        <v>143.749</v>
      </c>
      <c r="F4">
        <v>774.71900000000005</v>
      </c>
      <c r="G4">
        <v>295.68799999999999</v>
      </c>
      <c r="H4">
        <v>262.77199999999999</v>
      </c>
    </row>
    <row r="5" spans="1:9" x14ac:dyDescent="0.3">
      <c r="A5" t="s">
        <v>1350</v>
      </c>
      <c r="B5">
        <v>274.75200000000001</v>
      </c>
      <c r="C5">
        <v>574.06100000000004</v>
      </c>
      <c r="D5">
        <v>0</v>
      </c>
      <c r="E5">
        <v>670.43200000000002</v>
      </c>
      <c r="F5">
        <v>224.42400000000001</v>
      </c>
      <c r="G5">
        <v>287.97300000000001</v>
      </c>
      <c r="H5">
        <v>520.88800000000003</v>
      </c>
    </row>
    <row r="6" spans="1:9" x14ac:dyDescent="0.3">
      <c r="A6" t="s">
        <v>1351</v>
      </c>
      <c r="B6">
        <v>399.86099999999999</v>
      </c>
      <c r="C6">
        <v>145.87899999999999</v>
      </c>
      <c r="D6">
        <v>674.76400000000001</v>
      </c>
      <c r="E6">
        <v>0</v>
      </c>
      <c r="F6">
        <v>871.42200000000003</v>
      </c>
      <c r="G6">
        <v>392.24099999999999</v>
      </c>
      <c r="H6">
        <v>400.89</v>
      </c>
    </row>
    <row r="7" spans="1:9" x14ac:dyDescent="0.3">
      <c r="A7" t="s">
        <v>1352</v>
      </c>
      <c r="B7">
        <v>476.02800000000002</v>
      </c>
      <c r="C7">
        <v>775.33699999999999</v>
      </c>
      <c r="D7">
        <v>224.04300000000001</v>
      </c>
      <c r="E7">
        <v>871.70799999999997</v>
      </c>
      <c r="F7">
        <v>0</v>
      </c>
      <c r="G7">
        <v>489.24900000000002</v>
      </c>
      <c r="H7">
        <v>722.16399999999999</v>
      </c>
    </row>
    <row r="8" spans="1:9" x14ac:dyDescent="0.3">
      <c r="A8" t="s">
        <v>1354</v>
      </c>
      <c r="B8">
        <v>3.4969999999999999</v>
      </c>
      <c r="C8">
        <v>298.37799999999999</v>
      </c>
      <c r="D8">
        <v>292.50099999999998</v>
      </c>
      <c r="E8">
        <v>393.28399999999999</v>
      </c>
      <c r="F8">
        <v>489.15899999999999</v>
      </c>
      <c r="G8">
        <v>0</v>
      </c>
      <c r="H8">
        <v>245.20500000000001</v>
      </c>
    </row>
    <row r="9" spans="1:9" ht="15" thickBot="1" x14ac:dyDescent="0.35">
      <c r="A9" s="26" t="s">
        <v>1356</v>
      </c>
      <c r="B9">
        <v>251.22399999999999</v>
      </c>
      <c r="C9">
        <v>260.93900000000002</v>
      </c>
      <c r="D9">
        <v>526.12699999999995</v>
      </c>
      <c r="E9">
        <v>398.35199999999998</v>
      </c>
      <c r="F9">
        <v>722.78499999999997</v>
      </c>
      <c r="G9">
        <v>243.75399999999999</v>
      </c>
      <c r="H9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7A38C-733A-4B92-9265-8FE934CC02E7}">
  <sheetPr codeName="Feuil58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1433</v>
      </c>
      <c r="B2" s="24" t="s">
        <v>221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ECF50-C53F-4370-864E-0297A7778129}">
  <sheetPr codeName="Feuil59"/>
  <dimension ref="A1:J10"/>
  <sheetViews>
    <sheetView workbookViewId="0">
      <selection activeCell="A3" sqref="A3:A4"/>
    </sheetView>
  </sheetViews>
  <sheetFormatPr baseColWidth="10" defaultRowHeight="14.4" x14ac:dyDescent="0.3"/>
  <sheetData>
    <row r="1" spans="1:10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</row>
    <row r="2" spans="1:10" x14ac:dyDescent="0.3">
      <c r="A2" t="s">
        <v>23</v>
      </c>
      <c r="B2" t="str" cm="1">
        <f t="array" ref="B2:I2">TRANSPOSE(A3:A10)</f>
        <v>Calle San Moisè, 1474/1475 Venice</v>
      </c>
      <c r="C2" t="str">
        <v>Calle del Fontego dei Tedeschi by DFS, Venice</v>
      </c>
      <c r="D2" t="str">
        <v>Via San Gregorio 55, 20124 Milan, Italy</v>
      </c>
      <c r="E2" t="str">
        <v>Via Giuseppe Meda, 35, 00157 Rome, Italy</v>
      </c>
      <c r="F2" t="str">
        <v>Corso Ferrucci, 112, 10138 Turin, Italy</v>
      </c>
      <c r="G2" t="str">
        <v>Via Chiatamone, 60, 80121 Naples, Italy</v>
      </c>
      <c r="H2" t="str">
        <v>Via Francesco Baracca 9/11, 50127 Florence, Italy</v>
      </c>
      <c r="I2" t="str">
        <v>Via delle Industrie 19, 30175 Marghera, Venice, Italy</v>
      </c>
    </row>
    <row r="3" spans="1:10" x14ac:dyDescent="0.3">
      <c r="A3" s="19" t="s">
        <v>1435</v>
      </c>
      <c r="B3">
        <v>0</v>
      </c>
      <c r="C3">
        <v>2.012</v>
      </c>
      <c r="D3">
        <v>266.68900000000002</v>
      </c>
      <c r="E3">
        <v>531.87699999999995</v>
      </c>
      <c r="F3">
        <v>404.10199999999998</v>
      </c>
      <c r="G3">
        <v>728.53499999999997</v>
      </c>
      <c r="H3">
        <v>249.50399999999999</v>
      </c>
      <c r="I3">
        <v>9.3460000000000001</v>
      </c>
    </row>
    <row r="4" spans="1:10" x14ac:dyDescent="0.3">
      <c r="A4" s="19" t="s">
        <v>1436</v>
      </c>
      <c r="B4">
        <v>13.084</v>
      </c>
      <c r="C4">
        <v>0</v>
      </c>
      <c r="D4">
        <v>266.428</v>
      </c>
      <c r="E4">
        <v>531.61599999999999</v>
      </c>
      <c r="F4">
        <v>403.84100000000001</v>
      </c>
      <c r="G4">
        <v>728.274</v>
      </c>
      <c r="H4">
        <v>249.24299999999999</v>
      </c>
      <c r="I4">
        <v>9.0850000000000009</v>
      </c>
    </row>
    <row r="5" spans="1:10" x14ac:dyDescent="0.3">
      <c r="A5" t="s">
        <v>1347</v>
      </c>
      <c r="B5">
        <v>268.25200000000001</v>
      </c>
      <c r="C5">
        <v>268.96100000000001</v>
      </c>
      <c r="D5">
        <v>0</v>
      </c>
      <c r="E5">
        <v>578.06100000000004</v>
      </c>
      <c r="F5">
        <v>143.749</v>
      </c>
      <c r="G5">
        <v>774.71900000000005</v>
      </c>
      <c r="H5">
        <v>295.68799999999999</v>
      </c>
      <c r="I5">
        <v>262.77199999999999</v>
      </c>
    </row>
    <row r="6" spans="1:10" x14ac:dyDescent="0.3">
      <c r="A6" t="s">
        <v>1350</v>
      </c>
      <c r="B6">
        <v>526.36800000000005</v>
      </c>
      <c r="C6">
        <v>527.077</v>
      </c>
      <c r="D6">
        <v>574.06100000000004</v>
      </c>
      <c r="E6">
        <v>0</v>
      </c>
      <c r="F6">
        <v>670.43200000000002</v>
      </c>
      <c r="G6">
        <v>224.42400000000001</v>
      </c>
      <c r="H6">
        <v>287.97300000000001</v>
      </c>
      <c r="I6">
        <v>520.88800000000003</v>
      </c>
    </row>
    <row r="7" spans="1:10" x14ac:dyDescent="0.3">
      <c r="A7" t="s">
        <v>1351</v>
      </c>
      <c r="B7">
        <v>406.37</v>
      </c>
      <c r="C7">
        <v>407.07900000000001</v>
      </c>
      <c r="D7">
        <v>145.87899999999999</v>
      </c>
      <c r="E7">
        <v>674.76400000000001</v>
      </c>
      <c r="F7">
        <v>0</v>
      </c>
      <c r="G7">
        <v>871.42200000000003</v>
      </c>
      <c r="H7">
        <v>392.24099999999999</v>
      </c>
      <c r="I7">
        <v>400.89</v>
      </c>
    </row>
    <row r="8" spans="1:10" x14ac:dyDescent="0.3">
      <c r="A8" t="s">
        <v>1352</v>
      </c>
      <c r="B8">
        <v>727.64400000000001</v>
      </c>
      <c r="C8">
        <v>728.35299999999995</v>
      </c>
      <c r="D8">
        <v>775.33699999999999</v>
      </c>
      <c r="E8">
        <v>224.04300000000001</v>
      </c>
      <c r="F8">
        <v>871.70799999999997</v>
      </c>
      <c r="G8">
        <v>0</v>
      </c>
      <c r="H8">
        <v>489.24900000000002</v>
      </c>
      <c r="I8">
        <v>722.16399999999999</v>
      </c>
    </row>
    <row r="9" spans="1:10" x14ac:dyDescent="0.3">
      <c r="A9" t="s">
        <v>1354</v>
      </c>
      <c r="B9">
        <v>250.685</v>
      </c>
      <c r="C9">
        <v>251.39400000000001</v>
      </c>
      <c r="D9">
        <v>298.37799999999999</v>
      </c>
      <c r="E9">
        <v>292.50099999999998</v>
      </c>
      <c r="F9">
        <v>393.28399999999999</v>
      </c>
      <c r="G9">
        <v>489.15899999999999</v>
      </c>
      <c r="H9">
        <v>0</v>
      </c>
      <c r="I9">
        <v>245.20500000000001</v>
      </c>
    </row>
    <row r="10" spans="1:10" ht="15" thickBot="1" x14ac:dyDescent="0.35">
      <c r="A10" s="26" t="s">
        <v>1356</v>
      </c>
      <c r="B10">
        <v>6.9820000000000002</v>
      </c>
      <c r="C10">
        <v>7.6909999999999998</v>
      </c>
      <c r="D10">
        <v>260.93900000000002</v>
      </c>
      <c r="E10">
        <v>526.12699999999995</v>
      </c>
      <c r="F10">
        <v>398.35199999999998</v>
      </c>
      <c r="G10">
        <v>722.78499999999997</v>
      </c>
      <c r="H10">
        <v>243.75399999999999</v>
      </c>
      <c r="I10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68491-CB4E-42C9-B218-468FDC58C3AB}">
  <sheetPr codeName="Feuil60"/>
  <dimension ref="A1:B3"/>
  <sheetViews>
    <sheetView workbookViewId="0">
      <selection activeCell="A2" sqref="A2:A3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1435</v>
      </c>
      <c r="B2" t="s">
        <v>223</v>
      </c>
    </row>
    <row r="3" spans="1:2" x14ac:dyDescent="0.3">
      <c r="A3" s="19" t="s">
        <v>1436</v>
      </c>
      <c r="B3" t="s">
        <v>224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46AC8-DA7B-428D-912F-D03ADB42BD0B}">
  <sheetPr codeName="Feuil61"/>
  <dimension ref="A1:I9"/>
  <sheetViews>
    <sheetView workbookViewId="0">
      <selection activeCell="A3" sqref="A3"/>
    </sheetView>
  </sheetViews>
  <sheetFormatPr baseColWidth="10" defaultRowHeight="14.4" x14ac:dyDescent="0.3"/>
  <sheetData>
    <row r="1" spans="1:9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3">
      <c r="B2" t="str" cm="1">
        <f t="array" ref="B2:H2">TRANSPOSE(A3:A9)</f>
        <v>Via dei Condotti, 83, 00187 Roma RM, Italie</v>
      </c>
      <c r="C2" t="str">
        <v>Via San Gregorio 55, 20124 Milan, Italy</v>
      </c>
      <c r="D2" t="str">
        <v>Via Giuseppe Meda, 35, 00157 Rome, Italy</v>
      </c>
      <c r="E2" t="str">
        <v>Corso Ferrucci, 112, 10138 Turin, Italy</v>
      </c>
      <c r="F2" t="str">
        <v>Via Chiatamone, 60, 80121 Naples, Italy</v>
      </c>
      <c r="G2" t="str">
        <v>Via Francesco Baracca 9/11, 50127 Florence, Italy</v>
      </c>
      <c r="H2" t="str">
        <v>Via delle Industrie 19, 30175 Marghera, Venice, Italy</v>
      </c>
    </row>
    <row r="3" spans="1:9" x14ac:dyDescent="0.3">
      <c r="A3" s="19" t="s">
        <v>1389</v>
      </c>
      <c r="B3">
        <v>0</v>
      </c>
      <c r="C3">
        <v>574</v>
      </c>
      <c r="D3">
        <v>9</v>
      </c>
      <c r="E3">
        <v>654</v>
      </c>
      <c r="F3">
        <v>232</v>
      </c>
      <c r="G3">
        <v>290</v>
      </c>
      <c r="H3">
        <v>522</v>
      </c>
    </row>
    <row r="4" spans="1:9" x14ac:dyDescent="0.3">
      <c r="A4" t="s">
        <v>1347</v>
      </c>
      <c r="B4">
        <v>572</v>
      </c>
      <c r="C4">
        <v>0</v>
      </c>
      <c r="D4">
        <v>578.06100000000004</v>
      </c>
      <c r="E4">
        <v>143.749</v>
      </c>
      <c r="F4">
        <v>774.71900000000005</v>
      </c>
      <c r="G4">
        <v>295.68799999999999</v>
      </c>
      <c r="H4">
        <v>262.77199999999999</v>
      </c>
    </row>
    <row r="5" spans="1:9" x14ac:dyDescent="0.3">
      <c r="A5" t="s">
        <v>1350</v>
      </c>
      <c r="B5">
        <v>7.7</v>
      </c>
      <c r="C5">
        <v>574.06100000000004</v>
      </c>
      <c r="D5">
        <v>0</v>
      </c>
      <c r="E5">
        <v>670.43200000000002</v>
      </c>
      <c r="F5">
        <v>224.42400000000001</v>
      </c>
      <c r="G5">
        <v>287.97300000000001</v>
      </c>
      <c r="H5">
        <v>520.88800000000003</v>
      </c>
    </row>
    <row r="6" spans="1:9" x14ac:dyDescent="0.3">
      <c r="A6" t="s">
        <v>1351</v>
      </c>
      <c r="B6">
        <v>654</v>
      </c>
      <c r="C6">
        <v>145.87899999999999</v>
      </c>
      <c r="D6">
        <v>674.76400000000001</v>
      </c>
      <c r="E6">
        <v>0</v>
      </c>
      <c r="F6">
        <v>871.42200000000003</v>
      </c>
      <c r="G6">
        <v>392.24099999999999</v>
      </c>
      <c r="H6">
        <v>400.89</v>
      </c>
    </row>
    <row r="7" spans="1:9" x14ac:dyDescent="0.3">
      <c r="A7" t="s">
        <v>1352</v>
      </c>
      <c r="B7">
        <v>231</v>
      </c>
      <c r="C7">
        <v>775.33699999999999</v>
      </c>
      <c r="D7">
        <v>224.04300000000001</v>
      </c>
      <c r="E7">
        <v>871.70799999999997</v>
      </c>
      <c r="F7">
        <v>0</v>
      </c>
      <c r="G7">
        <v>489.24900000000002</v>
      </c>
      <c r="H7">
        <v>722.16399999999999</v>
      </c>
    </row>
    <row r="8" spans="1:9" x14ac:dyDescent="0.3">
      <c r="A8" t="s">
        <v>1354</v>
      </c>
      <c r="B8">
        <v>287</v>
      </c>
      <c r="C8">
        <v>298.37799999999999</v>
      </c>
      <c r="D8">
        <v>292.50099999999998</v>
      </c>
      <c r="E8">
        <v>393.28399999999999</v>
      </c>
      <c r="F8">
        <v>489.15899999999999</v>
      </c>
      <c r="G8">
        <v>0</v>
      </c>
      <c r="H8">
        <v>245.20500000000001</v>
      </c>
    </row>
    <row r="9" spans="1:9" ht="15" thickBot="1" x14ac:dyDescent="0.35">
      <c r="A9" s="26" t="s">
        <v>1356</v>
      </c>
      <c r="B9">
        <v>521</v>
      </c>
      <c r="C9">
        <v>260.93900000000002</v>
      </c>
      <c r="D9">
        <v>526.12699999999995</v>
      </c>
      <c r="E9">
        <v>398.35199999999998</v>
      </c>
      <c r="F9">
        <v>722.78499999999997</v>
      </c>
      <c r="G9">
        <v>243.75399999999999</v>
      </c>
      <c r="H9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65067-9E0C-4E72-868D-48046D7581E3}">
  <sheetPr codeName="Feuil62"/>
  <dimension ref="A1:B2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s="19" t="s">
        <v>1389</v>
      </c>
      <c r="B2" s="24" t="str" cm="1">
        <f t="array" ref="B2">GetCoordinatesBingSimple(A2)</f>
        <v>41.9054348,12.4809983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E6044-65EC-431C-B7A8-D2E32CF58F1C}">
  <sheetPr codeName="Feuil5"/>
  <dimension ref="A1:B38"/>
  <sheetViews>
    <sheetView workbookViewId="0">
      <selection activeCell="B35" sqref="B2:B35"/>
    </sheetView>
  </sheetViews>
  <sheetFormatPr baseColWidth="10" defaultRowHeight="14.4" x14ac:dyDescent="0.3"/>
  <cols>
    <col min="1" max="1" width="66.77734375" bestFit="1" customWidth="1"/>
    <col min="2" max="2" width="21.77734375" bestFit="1" customWidth="1"/>
  </cols>
  <sheetData>
    <row r="1" spans="1:2" x14ac:dyDescent="0.3">
      <c r="A1" s="5" t="s">
        <v>169</v>
      </c>
      <c r="B1" s="5" t="s">
        <v>170</v>
      </c>
    </row>
    <row r="2" spans="1:2" x14ac:dyDescent="0.3">
      <c r="A2" s="5" t="s">
        <v>30</v>
      </c>
      <c r="B2" s="5" t="str" cm="1">
        <f t="array" ref="B2">GetCoordinatesBingSimple(A2)</f>
        <v>48.4965477,7.47151136</v>
      </c>
    </row>
    <row r="3" spans="1:2" x14ac:dyDescent="0.3">
      <c r="A3" s="5" t="s">
        <v>33</v>
      </c>
      <c r="B3" s="5" t="str" cm="1">
        <f t="array" ref="B3">GetCoordinatesBingSimple(A3)</f>
        <v>47.20677633,2.09185674</v>
      </c>
    </row>
    <row r="4" spans="1:2" x14ac:dyDescent="0.3">
      <c r="A4" s="5" t="s">
        <v>36</v>
      </c>
      <c r="B4" s="5" t="str" cm="1">
        <f t="array" ref="B4">GetCoordinatesBingSimple(A4)</f>
        <v>46.790448,1.659128</v>
      </c>
    </row>
    <row r="5" spans="1:2" x14ac:dyDescent="0.3">
      <c r="A5" s="5" t="s">
        <v>39</v>
      </c>
      <c r="B5" s="5" t="str" cm="1">
        <f t="array" ref="B5">GetCoordinatesBingSimple(A5)</f>
        <v>47.42440545,1.56190228</v>
      </c>
    </row>
    <row r="6" spans="1:2" x14ac:dyDescent="0.3">
      <c r="A6" s="5" t="s">
        <v>42</v>
      </c>
      <c r="B6" s="5" t="str" cm="1">
        <f t="array" ref="B6">GetCoordinatesBingSimple(A6)</f>
        <v>48.462487,-2.79772285</v>
      </c>
    </row>
    <row r="7" spans="1:2" x14ac:dyDescent="0.3">
      <c r="A7" s="5" t="s">
        <v>45</v>
      </c>
      <c r="B7" s="5" t="str" cm="1">
        <f t="array" ref="B7">GetCoordinatesBingSimple(A7)</f>
        <v>48.426807,1.4550068</v>
      </c>
    </row>
    <row r="8" spans="1:2" x14ac:dyDescent="0.3">
      <c r="A8" s="5" t="s">
        <v>48</v>
      </c>
      <c r="B8" s="5" t="str" cm="1">
        <f t="array" ref="B8">GetCoordinatesBingSimple(A8)</f>
        <v>47.08262253,2.39758945</v>
      </c>
    </row>
    <row r="9" spans="1:2" x14ac:dyDescent="0.3">
      <c r="A9" s="5" t="s">
        <v>51</v>
      </c>
      <c r="B9" s="5" t="str" cm="1">
        <f t="array" ref="B9">GetCoordinatesBingSimple(A9)</f>
        <v>47.4571923,-0.4897532</v>
      </c>
    </row>
    <row r="10" spans="1:2" x14ac:dyDescent="0.3">
      <c r="A10" s="5" t="s">
        <v>54</v>
      </c>
      <c r="B10" s="5" t="str" cm="1">
        <f t="array" ref="B10">GetCoordinatesBingSimple(A10)</f>
        <v>47.88376236,1.77226174</v>
      </c>
    </row>
    <row r="11" spans="1:2" x14ac:dyDescent="0.3">
      <c r="A11" s="5" t="s">
        <v>57</v>
      </c>
      <c r="B11" s="5" t="str" cm="1">
        <f t="array" ref="B11">GetCoordinatesBingSimple(A11)</f>
        <v>47.7924983,-3.2608006</v>
      </c>
    </row>
    <row r="12" spans="1:2" x14ac:dyDescent="0.3">
      <c r="A12" s="5" t="s">
        <v>60</v>
      </c>
      <c r="B12" s="5" t="str" cm="1">
        <f t="array" ref="B12">GetCoordinatesBingSimple(A12)</f>
        <v>48.1096308,-1.7307103</v>
      </c>
    </row>
    <row r="13" spans="1:2" x14ac:dyDescent="0.3">
      <c r="A13" s="5" t="s">
        <v>63</v>
      </c>
      <c r="B13" s="5" t="str" cm="1">
        <f t="array" ref="B13">GetCoordinatesBingSimple(A13)</f>
        <v>43.2843259,5.4919834</v>
      </c>
    </row>
    <row r="14" spans="1:2" x14ac:dyDescent="0.3">
      <c r="A14" s="5" t="s">
        <v>66</v>
      </c>
      <c r="B14" s="5" t="str" cm="1">
        <f t="array" ref="B14">GetCoordinatesBingSimple(A14)</f>
        <v>43.34134796,5.36519012</v>
      </c>
    </row>
    <row r="15" spans="1:2" x14ac:dyDescent="0.3">
      <c r="A15" s="5" t="s">
        <v>69</v>
      </c>
      <c r="B15" s="5" t="str" cm="1">
        <f t="array" ref="B15">GetCoordinatesBingSimple(A15)</f>
        <v>48.7803347,2.4853644</v>
      </c>
    </row>
    <row r="16" spans="1:2" x14ac:dyDescent="0.3">
      <c r="A16" s="5" t="s">
        <v>72</v>
      </c>
      <c r="B16" s="5" t="str" cm="1">
        <f t="array" ref="B16">GetCoordinatesBingSimple(A16)</f>
        <v>47.92065376,1.94594148</v>
      </c>
    </row>
    <row r="17" spans="1:2" x14ac:dyDescent="0.3">
      <c r="A17" s="5" t="s">
        <v>75</v>
      </c>
      <c r="B17" s="5" t="str" cm="1">
        <f t="array" ref="B17">GetCoordinatesBingSimple(A17)</f>
        <v>47.307917,-2.184104</v>
      </c>
    </row>
    <row r="18" spans="1:2" x14ac:dyDescent="0.3">
      <c r="A18" s="5" t="s">
        <v>78</v>
      </c>
      <c r="B18" s="5" t="str" cm="1">
        <f t="array" ref="B18">GetCoordinatesBingSimple(A18)</f>
        <v>44.79375315,-0.528639</v>
      </c>
    </row>
    <row r="19" spans="1:2" x14ac:dyDescent="0.3">
      <c r="A19" s="5" t="s">
        <v>81</v>
      </c>
      <c r="B19" s="5" t="str" cm="1">
        <f t="array" ref="B19">GetCoordinatesBingSimple(A19)</f>
        <v>44.8553124,0.5205022</v>
      </c>
    </row>
    <row r="20" spans="1:2" x14ac:dyDescent="0.3">
      <c r="A20" s="5" t="s">
        <v>84</v>
      </c>
      <c r="B20" s="5" t="str" cm="1">
        <f t="array" ref="B20">GetCoordinatesBingSimple(A20)</f>
        <v>44.17353792,0.66504939</v>
      </c>
    </row>
    <row r="21" spans="1:2" x14ac:dyDescent="0.3">
      <c r="A21" s="5" t="s">
        <v>87</v>
      </c>
      <c r="B21" s="5" t="str" cm="1">
        <f t="array" ref="B21">GetCoordinatesBingSimple(A21)</f>
        <v>43.21031262,5.59769526</v>
      </c>
    </row>
    <row r="22" spans="1:2" x14ac:dyDescent="0.3">
      <c r="A22" s="5" t="s">
        <v>90</v>
      </c>
      <c r="B22" s="5" t="str" cm="1">
        <f t="array" ref="B22">GetCoordinatesBingSimple(A22)</f>
        <v>44.94351,-0.23809</v>
      </c>
    </row>
    <row r="23" spans="1:2" x14ac:dyDescent="0.3">
      <c r="A23" s="5" t="s">
        <v>93</v>
      </c>
      <c r="B23" s="5" t="str" cm="1">
        <f t="array" ref="B23">GetCoordinatesBingSimple(A23)</f>
        <v>43.3091434,-0.4285509</v>
      </c>
    </row>
    <row r="24" spans="1:2" x14ac:dyDescent="0.3">
      <c r="A24" s="5" t="s">
        <v>96</v>
      </c>
      <c r="B24" s="5" t="str" cm="1">
        <f t="array" ref="B24">GetCoordinatesBingSimple(A24)</f>
        <v>43.6380172,1.4199162</v>
      </c>
    </row>
    <row r="25" spans="1:2" x14ac:dyDescent="0.3">
      <c r="A25" s="5" t="s">
        <v>99</v>
      </c>
      <c r="B25" s="5" t="str" cm="1">
        <f t="array" ref="B25">GetCoordinatesBingSimple(A25)</f>
        <v>48.42402,-4.4396867</v>
      </c>
    </row>
    <row r="26" spans="1:2" x14ac:dyDescent="0.3">
      <c r="A26" s="5" t="s">
        <v>102</v>
      </c>
      <c r="B26" s="5" t="str" cm="1">
        <f t="array" ref="B26">GetCoordinatesBingSimple(A26)</f>
        <v>49.93540895,2.2756999</v>
      </c>
    </row>
    <row r="27" spans="1:2" x14ac:dyDescent="0.3">
      <c r="A27" s="5" t="s">
        <v>105</v>
      </c>
      <c r="B27" s="5" t="str" cm="1">
        <f t="array" ref="B27">GetCoordinatesBingSimple(A27)</f>
        <v>47.20872384,-1.70845162</v>
      </c>
    </row>
    <row r="28" spans="1:2" x14ac:dyDescent="0.3">
      <c r="A28" s="5" t="s">
        <v>108</v>
      </c>
      <c r="B28" s="5" t="str" cm="1">
        <f t="array" ref="B28">GetCoordinatesBingSimple(A28)</f>
        <v>45.78963045,5.94888878</v>
      </c>
    </row>
    <row r="29" spans="1:2" x14ac:dyDescent="0.3">
      <c r="A29" s="5" t="s">
        <v>111</v>
      </c>
      <c r="B29" s="5" t="str" cm="1">
        <f t="array" ref="B29">GetCoordinatesBingSimple(A29)</f>
        <v>45.81122,3.1507292</v>
      </c>
    </row>
    <row r="30" spans="1:2" x14ac:dyDescent="0.3">
      <c r="A30" s="5" t="s">
        <v>114</v>
      </c>
      <c r="B30" s="5" t="str" cm="1">
        <f t="array" ref="B30">GetCoordinatesBingSimple(A30)</f>
        <v>45.4732606,4.3853728</v>
      </c>
    </row>
    <row r="31" spans="1:2" x14ac:dyDescent="0.3">
      <c r="A31" s="5" t="s">
        <v>117</v>
      </c>
      <c r="B31" s="5" t="str" cm="1">
        <f t="array" ref="B31">GetCoordinatesBingSimple(A31)</f>
        <v>45.289564,5.623439</v>
      </c>
    </row>
    <row r="32" spans="1:2" x14ac:dyDescent="0.3">
      <c r="A32" s="5" t="s">
        <v>7</v>
      </c>
      <c r="B32" s="5" t="str" cm="1">
        <f t="array" ref="B32">GetCoordinatesBingSimple(A32)</f>
        <v>49.24980545,4.21617508</v>
      </c>
    </row>
    <row r="33" spans="1:2" x14ac:dyDescent="0.3">
      <c r="A33" s="5" t="s">
        <v>122</v>
      </c>
      <c r="B33" s="5" t="str" cm="1">
        <f t="array" ref="B33">GetCoordinatesBingSimple(A33)</f>
        <v>46.78438568,4.85289383</v>
      </c>
    </row>
    <row r="34" spans="1:2" x14ac:dyDescent="0.3">
      <c r="A34" s="5" t="s">
        <v>125</v>
      </c>
      <c r="B34" s="5" t="str" cm="1">
        <f t="array" ref="B34">GetCoordinatesBingSimple(A34)</f>
        <v>47.5108765,6.8555502</v>
      </c>
    </row>
    <row r="35" spans="1:2" ht="15" thickBot="1" x14ac:dyDescent="0.35">
      <c r="A35" s="5" t="s">
        <v>128</v>
      </c>
      <c r="B35" s="5" t="str" cm="1">
        <f t="array" ref="B35">GetCoordinatesBingSimple(A35)</f>
        <v>46.99939474,3.18623102</v>
      </c>
    </row>
    <row r="36" spans="1:2" x14ac:dyDescent="0.3">
      <c r="A36" s="21" t="s">
        <v>1471</v>
      </c>
      <c r="B36" s="22" t="str" cm="1">
        <f t="array" ref="B36">GetCoordinatesBingSimple(A36)</f>
        <v>48.73855195,2.33732725</v>
      </c>
    </row>
    <row r="37" spans="1:2" x14ac:dyDescent="0.3">
      <c r="A37" s="52" t="s">
        <v>1469</v>
      </c>
      <c r="B37" s="24" t="str" cm="1">
        <f t="array" ref="B37">GetCoordinatesBingSimple(A37)</f>
        <v>44.76565303,-0.71774254</v>
      </c>
    </row>
    <row r="38" spans="1:2" ht="15" thickBot="1" x14ac:dyDescent="0.35">
      <c r="A38" s="26" t="s">
        <v>1470</v>
      </c>
      <c r="B38" s="27" t="str" cm="1">
        <f t="array" ref="B38">GetCoordinatesBingSimple(A38)</f>
        <v>43.55681688,6.9527651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19BFF-84BE-4E53-ADDA-7D2C51FFA308}">
  <sheetPr codeName="Feuil63"/>
  <dimension ref="A1:B9"/>
  <sheetViews>
    <sheetView workbookViewId="0">
      <selection sqref="A1:B1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t="s">
        <v>1335</v>
      </c>
      <c r="B2" s="24" t="str" cm="1">
        <f t="array" ref="B2">GetCoordinatesBingSimple(A2)</f>
        <v>52.451977,13.423864</v>
      </c>
    </row>
    <row r="3" spans="1:2" x14ac:dyDescent="0.3">
      <c r="A3" t="s">
        <v>1337</v>
      </c>
      <c r="B3" s="24" t="str" cm="1">
        <f t="array" ref="B3">GetCoordinatesBingSimple(A3)</f>
        <v>53.645892,10.030527</v>
      </c>
    </row>
    <row r="4" spans="1:2" x14ac:dyDescent="0.3">
      <c r="A4" t="s">
        <v>1339</v>
      </c>
      <c r="B4" s="24" t="str" cm="1">
        <f t="array" ref="B4">GetCoordinatesBingSimple(A4)</f>
        <v>48.1907,11.602354</v>
      </c>
    </row>
    <row r="5" spans="1:2" x14ac:dyDescent="0.3">
      <c r="A5" t="s">
        <v>1341</v>
      </c>
      <c r="B5" s="24" t="str" cm="1">
        <f t="array" ref="B5">GetCoordinatesBingSimple(A5)</f>
        <v>50.194322,8.658019</v>
      </c>
    </row>
    <row r="6" spans="1:2" x14ac:dyDescent="0.3">
      <c r="A6" t="s">
        <v>1342</v>
      </c>
      <c r="B6" s="24" t="str" cm="1">
        <f t="array" ref="B6">GetCoordinatesBingSimple(A6)</f>
        <v>48.698479,9.16442</v>
      </c>
    </row>
    <row r="7" spans="1:2" x14ac:dyDescent="0.3">
      <c r="A7" t="s">
        <v>1344</v>
      </c>
      <c r="B7" s="24" t="str" cm="1">
        <f t="array" ref="B7">GetCoordinatesBingSimple(A7)</f>
        <v>51.16430744,6.83281695</v>
      </c>
    </row>
    <row r="8" spans="1:2" x14ac:dyDescent="0.3">
      <c r="A8" t="s">
        <v>1345</v>
      </c>
      <c r="B8" s="24" t="str" cm="1">
        <f t="array" ref="B8">GetCoordinatesBingSimple(A8)</f>
        <v>50.987503,6.883296</v>
      </c>
    </row>
    <row r="9" spans="1:2" ht="15" thickBot="1" x14ac:dyDescent="0.35">
      <c r="A9" s="26" t="s">
        <v>1346</v>
      </c>
      <c r="B9" s="27" t="str" cm="1">
        <f t="array" ref="B9">GetCoordinatesBingSimple(A9)</f>
        <v>51.502553,7.451379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A4605-7744-400A-BCEE-B66ED3033B77}">
  <sheetPr codeName="Feuil64"/>
  <dimension ref="A1:B7"/>
  <sheetViews>
    <sheetView workbookViewId="0">
      <selection activeCell="A2" sqref="A2:A7"/>
    </sheetView>
  </sheetViews>
  <sheetFormatPr baseColWidth="10" defaultRowHeight="14.4" x14ac:dyDescent="0.3"/>
  <sheetData>
    <row r="1" spans="1:2" x14ac:dyDescent="0.3">
      <c r="A1" s="5" t="s">
        <v>169</v>
      </c>
      <c r="B1" s="5" t="s">
        <v>170</v>
      </c>
    </row>
    <row r="2" spans="1:2" x14ac:dyDescent="0.3">
      <c r="A2" t="s">
        <v>1347</v>
      </c>
      <c r="B2" t="str" cm="1">
        <f t="array" ref="B2">GetCoordinatesBingSimple(A2)</f>
        <v>45.4812721,9.2007137</v>
      </c>
    </row>
    <row r="3" spans="1:2" x14ac:dyDescent="0.3">
      <c r="A3" t="s">
        <v>1350</v>
      </c>
      <c r="B3" t="str" cm="1">
        <f t="array" ref="B3">GetCoordinatesBingSimple(A3)</f>
        <v>41.919603,12.5443508</v>
      </c>
    </row>
    <row r="4" spans="1:2" x14ac:dyDescent="0.3">
      <c r="A4" t="s">
        <v>1351</v>
      </c>
      <c r="B4" t="str" cm="1">
        <f t="array" ref="B4">GetCoordinatesBingSimple(A4)</f>
        <v>45.0614838,7.6558859</v>
      </c>
    </row>
    <row r="5" spans="1:2" x14ac:dyDescent="0.3">
      <c r="A5" t="s">
        <v>1352</v>
      </c>
      <c r="B5" t="str" cm="1">
        <f t="array" ref="B5">GetCoordinatesBingSimple(A5)</f>
        <v>40.8307078,14.2448162</v>
      </c>
    </row>
    <row r="6" spans="1:2" x14ac:dyDescent="0.3">
      <c r="A6" t="s">
        <v>1354</v>
      </c>
      <c r="B6" t="str" cm="1">
        <f t="array" ref="B6">GetCoordinatesBingSimple(A6)</f>
        <v>43.7891605,11.2236575</v>
      </c>
    </row>
    <row r="7" spans="1:2" ht="15" thickBot="1" x14ac:dyDescent="0.35">
      <c r="A7" s="26" t="s">
        <v>1356</v>
      </c>
      <c r="B7" s="27" t="str" cm="1">
        <f t="array" ref="B7">GetCoordinatesBingSimple(A7)</f>
        <v>45.4721287,12.2539791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65</vt:i4>
      </vt:variant>
    </vt:vector>
  </HeadingPairs>
  <TitlesOfParts>
    <vt:vector size="65" baseType="lpstr">
      <vt:lpstr>Sheet1</vt:lpstr>
      <vt:lpstr>Adresse par pays</vt:lpstr>
      <vt:lpstr>Distance Matrix calcula</vt:lpstr>
      <vt:lpstr>Database Vehicle</vt:lpstr>
      <vt:lpstr>Distance Matrix Interlaken</vt:lpstr>
      <vt:lpstr>Database Cartier Interlaken</vt:lpstr>
      <vt:lpstr>Distance Matrix St Moritz</vt:lpstr>
      <vt:lpstr>Database Cartier St Moritz</vt:lpstr>
      <vt:lpstr>Distance Matrix Lucerne</vt:lpstr>
      <vt:lpstr>Database Cartier Lucerne</vt:lpstr>
      <vt:lpstr>Distance Matrix Geneva</vt:lpstr>
      <vt:lpstr>Database Cartier Geneva</vt:lpstr>
      <vt:lpstr>Distance Matrix Zürich</vt:lpstr>
      <vt:lpstr>Database Cartier Zürich</vt:lpstr>
      <vt:lpstr>Distance Matrix Lugano</vt:lpstr>
      <vt:lpstr>Database Cartier Lugano</vt:lpstr>
      <vt:lpstr>Distance Matrix Basel</vt:lpstr>
      <vt:lpstr>Database Cartier Basel</vt:lpstr>
      <vt:lpstr>Database Veolia Switzerland</vt:lpstr>
      <vt:lpstr>Distance Matrix Johannesburg</vt:lpstr>
      <vt:lpstr>Database Cartier Johannesburg</vt:lpstr>
      <vt:lpstr>Database Veolia RLG Africa</vt:lpstr>
      <vt:lpstr>Distance Matrix Istanbul</vt:lpstr>
      <vt:lpstr>Database Cartier Istanbul</vt:lpstr>
      <vt:lpstr>Database Veolia Türkiye</vt:lpstr>
      <vt:lpstr>Distance Matrix London</vt:lpstr>
      <vt:lpstr>Database Cartier London</vt:lpstr>
      <vt:lpstr>Database Veolia United Kingdom</vt:lpstr>
      <vt:lpstr>Distance Matrix Madrid</vt:lpstr>
      <vt:lpstr>Database Cartier Madrid</vt:lpstr>
      <vt:lpstr>Distance Matrix Barcelona</vt:lpstr>
      <vt:lpstr>Database Cartier Barcelona</vt:lpstr>
      <vt:lpstr>Distance Matrix Palma</vt:lpstr>
      <vt:lpstr>Database Cartier Palma</vt:lpstr>
      <vt:lpstr>Database Veolia Spain</vt:lpstr>
      <vt:lpstr>Distance Matrix Amsterdam</vt:lpstr>
      <vt:lpstr>Database Cartier Amsterdam</vt:lpstr>
      <vt:lpstr>Database Veolia Netherlands</vt:lpstr>
      <vt:lpstr>Distance Matrix Paris</vt:lpstr>
      <vt:lpstr>Database Cartier Paris</vt:lpstr>
      <vt:lpstr>Distance Matrix Bordeaux</vt:lpstr>
      <vt:lpstr>Database Cartier Bordeaux</vt:lpstr>
      <vt:lpstr>Distance Matrix South-East</vt:lpstr>
      <vt:lpstr>Database Cartier South-East</vt:lpstr>
      <vt:lpstr>Distance Matrix Berlin</vt:lpstr>
      <vt:lpstr>Database Cartier Berlin</vt:lpstr>
      <vt:lpstr>Distance Matrix Munich</vt:lpstr>
      <vt:lpstr>Database Cartier Munich</vt:lpstr>
      <vt:lpstr>Distance Matrix Düsseldorf</vt:lpstr>
      <vt:lpstr>Database Cartier Düsseldorf</vt:lpstr>
      <vt:lpstr>Distance Matrix Hamburg</vt:lpstr>
      <vt:lpstr>Database Cartier Hamburg</vt:lpstr>
      <vt:lpstr>Distance Matrix Frankfurt</vt:lpstr>
      <vt:lpstr>Database Cartier Frankfurt</vt:lpstr>
      <vt:lpstr>Distance Matrix Milan</vt:lpstr>
      <vt:lpstr>Database Cartier Milan</vt:lpstr>
      <vt:lpstr>Distance Matrix Florence</vt:lpstr>
      <vt:lpstr>Database Cartier Florence</vt:lpstr>
      <vt:lpstr>Distance Matrix Venice</vt:lpstr>
      <vt:lpstr>Database Cartier Venice</vt:lpstr>
      <vt:lpstr>Distance Matrix Roma</vt:lpstr>
      <vt:lpstr>Database Cartier Roma</vt:lpstr>
      <vt:lpstr>Database Veolia France</vt:lpstr>
      <vt:lpstr>Database Veolia Germany</vt:lpstr>
      <vt:lpstr>Database Veolia Italy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HYAUMET Valentin</cp:lastModifiedBy>
  <dcterms:created xsi:type="dcterms:W3CDTF">2024-04-10T07:46:23Z</dcterms:created>
  <dcterms:modified xsi:type="dcterms:W3CDTF">2024-05-26T15:13:33Z</dcterms:modified>
</cp:coreProperties>
</file>